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Tile Roofing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1.12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DISPOSAL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550</v>
      </c>
      <c r="E12" s="3">
        <f>B12*D12</f>
        <v/>
      </c>
    </row>
    <row r="14">
      <c r="A14" s="2" t="inlineStr">
        <is>
          <t>UNDERLAYMENT &amp; ICE SHIELD</t>
        </is>
      </c>
    </row>
    <row r="15">
      <c r="A15" t="inlineStr">
        <is>
          <t>Synthetic Underlayment</t>
        </is>
      </c>
      <c r="C15" t="inlineStr">
        <is>
          <t>Roll</t>
        </is>
      </c>
      <c r="D15" s="3" t="n">
        <v>45</v>
      </c>
      <c r="E15" s="3">
        <f>B15*D15</f>
        <v/>
      </c>
    </row>
    <row r="16">
      <c r="A16" t="inlineStr">
        <is>
          <t>Ice &amp; Water Shield</t>
        </is>
      </c>
      <c r="C16" t="inlineStr">
        <is>
          <t>Roll</t>
        </is>
      </c>
      <c r="D16" s="3" t="n">
        <v>75</v>
      </c>
      <c r="E16" s="3">
        <f>B16*D16</f>
        <v/>
      </c>
    </row>
    <row r="18">
      <c r="A18" s="2" t="inlineStr">
        <is>
          <t>FIELD MATERIALS</t>
        </is>
      </c>
    </row>
    <row r="19">
      <c r="A19" t="inlineStr">
        <is>
          <t>Concrete/Clay Tiles</t>
        </is>
      </c>
      <c r="C19" t="inlineStr">
        <is>
          <t>EA</t>
        </is>
      </c>
      <c r="D19" s="3" t="n">
        <v>1.85</v>
      </c>
      <c r="E19" s="3">
        <f>B19*D19</f>
        <v/>
      </c>
    </row>
    <row r="20">
      <c r="A20" t="inlineStr">
        <is>
          <t>Battens (1x2)</t>
        </is>
      </c>
      <c r="C20" t="inlineStr">
        <is>
          <t>LF</t>
        </is>
      </c>
      <c r="D20" s="3" t="n">
        <v>0.75</v>
      </c>
      <c r="E20" s="3">
        <f>B20*D20</f>
        <v/>
      </c>
    </row>
    <row r="21">
      <c r="A21" t="inlineStr">
        <is>
          <t>Mortar</t>
        </is>
      </c>
      <c r="C21" t="inlineStr">
        <is>
          <t>Bag</t>
        </is>
      </c>
      <c r="D21" s="3" t="n">
        <v>12</v>
      </c>
      <c r="E21" s="3">
        <f>B21*D21</f>
        <v/>
      </c>
    </row>
    <row r="22">
      <c r="A22" t="inlineStr">
        <is>
          <t>Tile Nails</t>
        </is>
      </c>
      <c r="C22" t="inlineStr">
        <is>
          <t>LB</t>
        </is>
      </c>
      <c r="D22" s="3" t="n">
        <v>4</v>
      </c>
      <c r="E22" s="3">
        <f>B22*D22</f>
        <v/>
      </c>
    </row>
    <row r="24">
      <c r="A24" s="2" t="inlineStr">
        <is>
          <t>EDGE METAL</t>
        </is>
      </c>
    </row>
    <row r="25">
      <c r="A25" t="inlineStr">
        <is>
          <t>Drip Edge</t>
        </is>
      </c>
      <c r="C25" t="inlineStr">
        <is>
          <t>LF</t>
        </is>
      </c>
      <c r="D25" s="3" t="n">
        <v>3</v>
      </c>
      <c r="E25" s="3">
        <f>B25*D25</f>
        <v/>
      </c>
    </row>
    <row r="26">
      <c r="A26" t="inlineStr">
        <is>
          <t>Rake Edge</t>
        </is>
      </c>
      <c r="C26" t="inlineStr">
        <is>
          <t>LF</t>
        </is>
      </c>
      <c r="D26" s="3" t="n">
        <v>3</v>
      </c>
      <c r="E26" s="3">
        <f>B26*D26</f>
        <v/>
      </c>
    </row>
    <row r="28">
      <c r="A28" s="2" t="inlineStr">
        <is>
          <t>FLASHING</t>
        </is>
      </c>
    </row>
    <row r="29">
      <c r="A29" t="inlineStr">
        <is>
          <t>Step Flashing</t>
        </is>
      </c>
      <c r="C29" t="inlineStr">
        <is>
          <t>EA</t>
        </is>
      </c>
      <c r="D29" s="3" t="n">
        <v>1.5</v>
      </c>
      <c r="E29" s="3">
        <f>B29*D29</f>
        <v/>
      </c>
    </row>
    <row r="30">
      <c r="A30" t="inlineStr">
        <is>
          <t>Valley Flashing</t>
        </is>
      </c>
      <c r="C30" t="inlineStr">
        <is>
          <t>LF</t>
        </is>
      </c>
      <c r="D30" s="3" t="n">
        <v>5</v>
      </c>
      <c r="E30" s="3">
        <f>B30*D30</f>
        <v/>
      </c>
    </row>
    <row r="31">
      <c r="A31" t="inlineStr">
        <is>
          <t>Chimney Flashing Kit</t>
        </is>
      </c>
      <c r="C31" t="inlineStr">
        <is>
          <t>EA</t>
        </is>
      </c>
      <c r="D31" s="3" t="n">
        <v>95</v>
      </c>
      <c r="E31" s="3">
        <f>B31*D31</f>
        <v/>
      </c>
    </row>
    <row r="32">
      <c r="A32" t="inlineStr">
        <is>
          <t>Pipe Boots</t>
        </is>
      </c>
      <c r="C32" t="inlineStr">
        <is>
          <t>EA</t>
        </is>
      </c>
      <c r="D32" s="3" t="n">
        <v>15</v>
      </c>
      <c r="E32" s="3">
        <f>B32*D32</f>
        <v/>
      </c>
    </row>
    <row r="34">
      <c r="A34" s="2" t="inlineStr">
        <is>
          <t>VENTILATION</t>
        </is>
      </c>
    </row>
    <row r="35">
      <c r="A35" t="inlineStr">
        <is>
          <t>Tile Vents</t>
        </is>
      </c>
      <c r="C35" t="inlineStr">
        <is>
          <t>EA</t>
        </is>
      </c>
      <c r="D35" s="3" t="n">
        <v>35</v>
      </c>
      <c r="E35" s="3">
        <f>B35*D35</f>
        <v/>
      </c>
    </row>
    <row r="37">
      <c r="A37" s="2" t="inlineStr">
        <is>
          <t>RIDGE &amp; HIP</t>
        </is>
      </c>
    </row>
    <row r="38">
      <c r="A38" t="inlineStr">
        <is>
          <t>Hip &amp; Ridge Tiles</t>
        </is>
      </c>
      <c r="C38" t="inlineStr">
        <is>
          <t>LF</t>
        </is>
      </c>
      <c r="D38" s="3" t="n">
        <v>5.5</v>
      </c>
      <c r="E38" s="3">
        <f>B38*D38</f>
        <v/>
      </c>
    </row>
    <row r="39">
      <c r="A39" t="inlineStr">
        <is>
          <t>Bird Stops</t>
        </is>
      </c>
      <c r="C39" t="inlineStr">
        <is>
          <t>LF</t>
        </is>
      </c>
      <c r="D39" s="3" t="n">
        <v>2</v>
      </c>
      <c r="E39" s="3">
        <f>B39*D39</f>
        <v/>
      </c>
    </row>
    <row r="41">
      <c r="A41" s="2" t="inlineStr">
        <is>
          <t>MISCELLANEOUS</t>
        </is>
      </c>
    </row>
    <row r="42">
      <c r="A42" t="inlineStr">
        <is>
          <t>Sealant</t>
        </is>
      </c>
      <c r="C42" t="inlineStr">
        <is>
          <t>Tube</t>
        </is>
      </c>
      <c r="D42" s="3" t="n">
        <v>6</v>
      </c>
      <c r="E42" s="3">
        <f>B42*D42</f>
        <v/>
      </c>
    </row>
    <row r="43">
      <c r="A43" t="inlineStr">
        <is>
          <t>Tarps/Protection</t>
        </is>
      </c>
      <c r="C43" t="inlineStr">
        <is>
          <t>EA</t>
        </is>
      </c>
      <c r="D43" s="3" t="n">
        <v>15</v>
      </c>
      <c r="E43" s="3">
        <f>B43*D43</f>
        <v/>
      </c>
    </row>
    <row r="45">
      <c r="A45" s="2" t="inlineStr">
        <is>
          <t>TOTAL MATERIAL COST</t>
        </is>
      </c>
      <c r="E45" s="4">
        <f>E12+E15+E16+E19+E20+E21+E22+E25+E26+E29+E30+E31+E32+E35+E38+E39+E42+E43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Tile Roofing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30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Debris Removal</t>
        </is>
      </c>
      <c r="C9" s="3">
        <f>B9*B4*B5</f>
        <v/>
      </c>
    </row>
    <row r="10">
      <c r="A10" t="inlineStr">
        <is>
          <t>Deck Inspection &amp; Repair</t>
        </is>
      </c>
      <c r="C10" s="3">
        <f>B10*B4*B5</f>
        <v/>
      </c>
    </row>
    <row r="11">
      <c r="A11" t="inlineStr">
        <is>
          <t>Underlayment &amp; Ice Shield</t>
        </is>
      </c>
      <c r="C11" s="3">
        <f>B11*B4*B5</f>
        <v/>
      </c>
    </row>
    <row r="12">
      <c r="A12" t="inlineStr">
        <is>
          <t>Field Install</t>
        </is>
      </c>
      <c r="C12" s="3">
        <f>B12*B4*B5</f>
        <v/>
      </c>
    </row>
    <row r="13">
      <c r="A13" t="inlineStr">
        <is>
          <t>Edge Metal Install</t>
        </is>
      </c>
      <c r="C13" s="3">
        <f>B13*B4*B5</f>
        <v/>
      </c>
    </row>
    <row r="14">
      <c r="A14" t="inlineStr">
        <is>
          <t>Flashing Install</t>
        </is>
      </c>
      <c r="C14" s="3">
        <f>B14*B4*B5</f>
        <v/>
      </c>
    </row>
    <row r="15">
      <c r="A15" t="inlineStr">
        <is>
          <t>Pipe Boot &amp; Penetration Install</t>
        </is>
      </c>
      <c r="C15" s="3">
        <f>B15*B4*B5</f>
        <v/>
      </c>
    </row>
    <row r="16">
      <c r="A16" t="inlineStr">
        <is>
          <t>Ventilation Install</t>
        </is>
      </c>
      <c r="C16" s="3">
        <f>B16*B4*B5</f>
        <v/>
      </c>
    </row>
    <row r="17">
      <c r="A17" t="inlineStr">
        <is>
          <t>Ridge &amp; Hip Install</t>
        </is>
      </c>
      <c r="C17" s="3">
        <f>B17*B4*B5</f>
        <v/>
      </c>
    </row>
    <row r="18">
      <c r="A18" t="inlineStr">
        <is>
          <t>Cleanup &amp; Final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Material_Takeoff!E45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Tile Roofing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 to deck</t>
        </is>
      </c>
    </row>
    <row r="13">
      <c r="A13" t="inlineStr">
        <is>
          <t>2. Inspect &amp; repair decking</t>
        </is>
      </c>
    </row>
    <row r="14">
      <c r="A14" t="inlineStr">
        <is>
          <t>3. Install underlayment system</t>
        </is>
      </c>
    </row>
    <row r="15">
      <c r="A15" t="inlineStr">
        <is>
          <t>4. Install battens per spec</t>
        </is>
      </c>
    </row>
    <row r="16">
      <c r="A16" t="inlineStr">
        <is>
          <t>5. Install concrete/clay tiles</t>
        </is>
      </c>
    </row>
    <row r="17">
      <c r="A17" t="inlineStr">
        <is>
          <t>6. Install hip &amp; ridge tiles</t>
        </is>
      </c>
    </row>
    <row r="18">
      <c r="A18" t="inlineStr">
        <is>
          <t>7. Install flashing at walls/valleys</t>
        </is>
      </c>
    </row>
    <row r="19">
      <c r="A19" t="inlineStr">
        <is>
          <t>8. Install bird stops at eaves</t>
        </is>
      </c>
    </row>
    <row r="20">
      <c r="A20" t="inlineStr">
        <is>
          <t>9. Complete cleanup &amp; inspection</t>
        </is>
      </c>
    </row>
    <row r="22">
      <c r="A22" s="2" t="inlineStr">
        <is>
          <t>INVESTMENT BREAKDOWN</t>
        </is>
      </c>
    </row>
    <row r="23">
      <c r="A23" t="inlineStr">
        <is>
          <t>Material + Tax</t>
        </is>
      </c>
      <c r="D23" s="3">
        <f>Recap!C11+Recap!C12</f>
        <v/>
      </c>
    </row>
    <row r="24">
      <c r="A24" t="inlineStr">
        <is>
          <t>Labor</t>
        </is>
      </c>
      <c r="D24" s="3">
        <f>Recap!C13</f>
        <v/>
      </c>
    </row>
    <row r="25">
      <c r="A25" s="2" t="inlineStr">
        <is>
          <t>TOTAL INVESTMENT</t>
        </is>
      </c>
      <c r="D25" s="4">
        <f>Recap!C19</f>
        <v/>
      </c>
    </row>
    <row r="27">
      <c r="A27" s="2" t="inlineStr">
        <is>
          <t>TERMS &amp; CONDITIONS</t>
        </is>
      </c>
    </row>
    <row r="28">
      <c r="A28" t="inlineStr">
        <is>
          <t>50% deposit, balance on completion</t>
        </is>
      </c>
    </row>
    <row r="29">
      <c r="A29" t="inlineStr">
        <is>
          <t>Estimate valid for 30 days</t>
        </is>
      </c>
    </row>
    <row r="31">
      <c r="A31" s="2" t="inlineStr">
        <is>
          <t>WARRANTY</t>
        </is>
      </c>
    </row>
    <row r="32">
      <c r="A32" t="inlineStr">
        <is>
          <t>Workmanship warranty: __ years</t>
        </is>
      </c>
    </row>
    <row r="33">
      <c r="A33" t="inlineStr">
        <is>
          <t>Manufacturer warranty: per specs</t>
        </is>
      </c>
    </row>
    <row r="35">
      <c r="A35" s="2" t="inlineStr">
        <is>
          <t>ACCEPTANCE</t>
        </is>
      </c>
    </row>
    <row r="36">
      <c r="A36" t="inlineStr">
        <is>
          <t>Customer Signature:</t>
        </is>
      </c>
      <c r="C36" t="inlineStr">
        <is>
          <t>____________</t>
        </is>
      </c>
    </row>
    <row r="37">
      <c r="A37" t="inlineStr">
        <is>
          <t>Date:</t>
        </is>
      </c>
      <c r="C37" t="inlineStr">
        <is>
          <t>____________</t>
        </is>
      </c>
    </row>
    <row r="38">
      <c r="A38" t="inlineStr">
        <is>
          <t>Contractor Signature:</t>
        </is>
      </c>
      <c r="C38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Tile Roofing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DISPOSAL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550</v>
      </c>
    </row>
    <row r="8">
      <c r="A8" s="2" t="inlineStr">
        <is>
          <t>UNDERLAYMENT &amp; ICE SHIELD</t>
        </is>
      </c>
    </row>
    <row r="9">
      <c r="A9" t="inlineStr">
        <is>
          <t>Synthetic Underlayment</t>
        </is>
      </c>
      <c r="B9" t="inlineStr">
        <is>
          <t>Roll</t>
        </is>
      </c>
      <c r="C9" s="3" t="n">
        <v>45</v>
      </c>
    </row>
    <row r="10">
      <c r="A10" t="inlineStr">
        <is>
          <t>Ice &amp; Water Shield</t>
        </is>
      </c>
      <c r="B10" t="inlineStr">
        <is>
          <t>Roll</t>
        </is>
      </c>
      <c r="C10" s="3" t="n">
        <v>75</v>
      </c>
    </row>
    <row r="12">
      <c r="A12" s="2" t="inlineStr">
        <is>
          <t>FIELD MATERIALS</t>
        </is>
      </c>
    </row>
    <row r="13">
      <c r="A13" t="inlineStr">
        <is>
          <t>Concrete/Clay Tiles</t>
        </is>
      </c>
      <c r="B13" t="inlineStr">
        <is>
          <t>EA</t>
        </is>
      </c>
      <c r="C13" s="3" t="n">
        <v>1.85</v>
      </c>
    </row>
    <row r="14">
      <c r="A14" t="inlineStr">
        <is>
          <t>Battens (1x2)</t>
        </is>
      </c>
      <c r="B14" t="inlineStr">
        <is>
          <t>LF</t>
        </is>
      </c>
      <c r="C14" s="3" t="n">
        <v>0.75</v>
      </c>
    </row>
    <row r="15">
      <c r="A15" t="inlineStr">
        <is>
          <t>Mortar</t>
        </is>
      </c>
      <c r="B15" t="inlineStr">
        <is>
          <t>Bag</t>
        </is>
      </c>
      <c r="C15" s="3" t="n">
        <v>12</v>
      </c>
    </row>
    <row r="16">
      <c r="A16" t="inlineStr">
        <is>
          <t>Tile Nails</t>
        </is>
      </c>
      <c r="B16" t="inlineStr">
        <is>
          <t>LB</t>
        </is>
      </c>
      <c r="C16" s="3" t="n">
        <v>4</v>
      </c>
    </row>
    <row r="18">
      <c r="A18" s="2" t="inlineStr">
        <is>
          <t>EDGE METAL</t>
        </is>
      </c>
    </row>
    <row r="19">
      <c r="A19" t="inlineStr">
        <is>
          <t>Drip Edge</t>
        </is>
      </c>
      <c r="B19" t="inlineStr">
        <is>
          <t>LF</t>
        </is>
      </c>
      <c r="C19" s="3" t="n">
        <v>3</v>
      </c>
    </row>
    <row r="20">
      <c r="A20" t="inlineStr">
        <is>
          <t>Rake Edge</t>
        </is>
      </c>
      <c r="B20" t="inlineStr">
        <is>
          <t>LF</t>
        </is>
      </c>
      <c r="C20" s="3" t="n">
        <v>3</v>
      </c>
    </row>
    <row r="22">
      <c r="A22" s="2" t="inlineStr">
        <is>
          <t>FLASHING</t>
        </is>
      </c>
    </row>
    <row r="23">
      <c r="A23" t="inlineStr">
        <is>
          <t>Step Flashing</t>
        </is>
      </c>
      <c r="B23" t="inlineStr">
        <is>
          <t>EA</t>
        </is>
      </c>
      <c r="C23" s="3" t="n">
        <v>1.5</v>
      </c>
    </row>
    <row r="24">
      <c r="A24" t="inlineStr">
        <is>
          <t>Valley Flashing</t>
        </is>
      </c>
      <c r="B24" t="inlineStr">
        <is>
          <t>LF</t>
        </is>
      </c>
      <c r="C24" s="3" t="n">
        <v>5</v>
      </c>
    </row>
    <row r="25">
      <c r="A25" t="inlineStr">
        <is>
          <t>Chimney Flashing Kit</t>
        </is>
      </c>
      <c r="B25" t="inlineStr">
        <is>
          <t>EA</t>
        </is>
      </c>
      <c r="C25" s="3" t="n">
        <v>95</v>
      </c>
    </row>
    <row r="26">
      <c r="A26" t="inlineStr">
        <is>
          <t>Pipe Boots</t>
        </is>
      </c>
      <c r="B26" t="inlineStr">
        <is>
          <t>EA</t>
        </is>
      </c>
      <c r="C26" s="3" t="n">
        <v>15</v>
      </c>
    </row>
    <row r="28">
      <c r="A28" s="2" t="inlineStr">
        <is>
          <t>VENTILATION</t>
        </is>
      </c>
    </row>
    <row r="29">
      <c r="A29" t="inlineStr">
        <is>
          <t>Tile Vents</t>
        </is>
      </c>
      <c r="B29" t="inlineStr">
        <is>
          <t>EA</t>
        </is>
      </c>
      <c r="C29" s="3" t="n">
        <v>35</v>
      </c>
    </row>
    <row r="31">
      <c r="A31" s="2" t="inlineStr">
        <is>
          <t>RIDGE &amp; HIP</t>
        </is>
      </c>
    </row>
    <row r="32">
      <c r="A32" t="inlineStr">
        <is>
          <t>Hip &amp; Ridge Tiles</t>
        </is>
      </c>
      <c r="B32" t="inlineStr">
        <is>
          <t>LF</t>
        </is>
      </c>
      <c r="C32" s="3" t="n">
        <v>5.5</v>
      </c>
    </row>
    <row r="33">
      <c r="A33" t="inlineStr">
        <is>
          <t>Bird Stops</t>
        </is>
      </c>
      <c r="B33" t="inlineStr">
        <is>
          <t>LF</t>
        </is>
      </c>
      <c r="C33" s="3" t="n">
        <v>2</v>
      </c>
    </row>
    <row r="35">
      <c r="A35" s="2" t="inlineStr">
        <is>
          <t>MISCELLANEOUS</t>
        </is>
      </c>
    </row>
    <row r="36">
      <c r="A36" t="inlineStr">
        <is>
          <t>Sealant</t>
        </is>
      </c>
      <c r="B36" t="inlineStr">
        <is>
          <t>Tube</t>
        </is>
      </c>
      <c r="C36" s="3" t="n">
        <v>6</v>
      </c>
    </row>
    <row r="37">
      <c r="A37" t="inlineStr">
        <is>
          <t>Tarps/Protection</t>
        </is>
      </c>
      <c r="B37" t="inlineStr">
        <is>
          <t>EA</t>
        </is>
      </c>
      <c r="C37" s="3" t="n">
        <v>15</v>
      </c>
    </row>
    <row r="39">
      <c r="A39" s="2" t="inlineStr">
        <is>
          <t>LABOR</t>
        </is>
      </c>
    </row>
    <row r="40">
      <c r="A40" t="inlineStr">
        <is>
          <t>Hourly Rate per Person</t>
        </is>
      </c>
      <c r="B40" t="inlineStr">
        <is>
          <t>HR</t>
        </is>
      </c>
      <c r="C40" s="3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