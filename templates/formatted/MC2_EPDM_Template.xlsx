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EPDM RUBBER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EPDM RUBBER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EPDM 60mil (10' wide)</t>
        </is>
      </c>
      <c r="C13" s="4" t="n">
        <v>0</v>
      </c>
      <c r="D13" s="4" t="inlineStr">
        <is>
          <t>rolls</t>
        </is>
      </c>
      <c r="E13" s="18" t="n">
        <v>395</v>
      </c>
      <c r="F13" s="8">
        <f>C13*E13</f>
        <v/>
      </c>
    </row>
    <row r="14">
      <c r="B14" s="4" t="inlineStr">
        <is>
          <t>EPDM 90mil (10' wide)</t>
        </is>
      </c>
      <c r="C14" s="4" t="n">
        <v>0</v>
      </c>
      <c r="D14" s="4" t="inlineStr">
        <is>
          <t>rolls</t>
        </is>
      </c>
      <c r="E14" s="18" t="n">
        <v>525</v>
      </c>
      <c r="F14" s="8">
        <f>C14*E14</f>
        <v/>
      </c>
    </row>
    <row r="15">
      <c r="B15" s="4" t="inlineStr">
        <is>
          <t>Polyiso 2.5" (4x8)</t>
        </is>
      </c>
      <c r="C15" s="4">
        <f>CEILING($C$9*100/32,1)</f>
        <v/>
      </c>
      <c r="D15" s="4" t="inlineStr">
        <is>
          <t>sheets</t>
        </is>
      </c>
      <c r="E15" s="18" t="n">
        <v>48</v>
      </c>
      <c r="F15" s="8">
        <f>C15*E15</f>
        <v/>
      </c>
    </row>
    <row r="16">
      <c r="B16" s="4" t="inlineStr">
        <is>
          <t>Cover Board 1/2"</t>
        </is>
      </c>
      <c r="C16" s="4">
        <f>CEILING($C$9*100/32,1)</f>
        <v/>
      </c>
      <c r="D16" s="4" t="inlineStr">
        <is>
          <t>sheets</t>
        </is>
      </c>
      <c r="E16" s="18" t="n">
        <v>28</v>
      </c>
      <c r="F16" s="8">
        <f>C16*E16</f>
        <v/>
      </c>
    </row>
    <row r="17">
      <c r="B17" s="4" t="inlineStr">
        <is>
          <t>EPDM Bonding Adhesive</t>
        </is>
      </c>
      <c r="C17" s="4">
        <f>CEILING($C$9/6,1)</f>
        <v/>
      </c>
      <c r="D17" s="4" t="inlineStr">
        <is>
          <t>5-gal</t>
        </is>
      </c>
      <c r="E17" s="18" t="n">
        <v>175</v>
      </c>
      <c r="F17" s="8">
        <f>C17*E17</f>
        <v/>
      </c>
    </row>
    <row r="18">
      <c r="B18" s="4" t="inlineStr">
        <is>
          <t>EPDM Primer</t>
        </is>
      </c>
      <c r="C18" s="4" t="n">
        <v>0</v>
      </c>
      <c r="D18" s="4" t="inlineStr">
        <is>
          <t>gallons</t>
        </is>
      </c>
      <c r="E18" s="18" t="n">
        <v>48</v>
      </c>
      <c r="F18" s="8">
        <f>C18*E18</f>
        <v/>
      </c>
    </row>
    <row r="19">
      <c r="B19" s="4" t="inlineStr">
        <is>
          <t>Seam Tape 3"</t>
        </is>
      </c>
      <c r="C19" s="4" t="n">
        <v>0</v>
      </c>
      <c r="D19" s="4" t="inlineStr">
        <is>
          <t>rolls</t>
        </is>
      </c>
      <c r="E19" s="18" t="n">
        <v>95</v>
      </c>
      <c r="F19" s="8">
        <f>C19*E19</f>
        <v/>
      </c>
    </row>
    <row r="20">
      <c r="B20" s="4" t="inlineStr">
        <is>
          <t>Lap Sealant</t>
        </is>
      </c>
      <c r="C20" s="4" t="inlineStr">
        <is>
          <t>12</t>
        </is>
      </c>
      <c r="D20" s="4" t="inlineStr">
        <is>
          <t>tubes</t>
        </is>
      </c>
      <c r="E20" s="18" t="n">
        <v>14</v>
      </c>
      <c r="F20" s="8">
        <f>C20*E20</f>
        <v/>
      </c>
    </row>
    <row r="21">
      <c r="B21" s="4" t="inlineStr">
        <is>
          <t>Termination Bar (10')</t>
        </is>
      </c>
      <c r="C21" s="4" t="n">
        <v>0</v>
      </c>
      <c r="D21" s="4" t="inlineStr">
        <is>
          <t>pcs</t>
        </is>
      </c>
      <c r="E21" s="18" t="n">
        <v>18</v>
      </c>
      <c r="F21" s="8">
        <f>C21*E21</f>
        <v/>
      </c>
    </row>
    <row r="22">
      <c r="B22" s="4" t="inlineStr">
        <is>
          <t>Edge Metal</t>
        </is>
      </c>
      <c r="C22" s="4" t="n">
        <v>0</v>
      </c>
      <c r="D22" s="4" t="inlineStr">
        <is>
          <t>10' pcs</t>
        </is>
      </c>
      <c r="E22" s="18" t="n">
        <v>32</v>
      </c>
      <c r="F22" s="8">
        <f>C22*E22</f>
        <v/>
      </c>
    </row>
    <row r="23">
      <c r="B23" s="4" t="inlineStr">
        <is>
          <t>EPDM Pipe Boots</t>
        </is>
      </c>
      <c r="C23" s="4" t="inlineStr">
        <is>
          <t>4</t>
        </is>
      </c>
      <c r="D23" s="4" t="inlineStr">
        <is>
          <t>each</t>
        </is>
      </c>
      <c r="E23" s="18" t="n">
        <v>58</v>
      </c>
      <c r="F23" s="8">
        <f>C23*E23</f>
        <v/>
      </c>
    </row>
    <row r="24">
      <c r="B24" s="4" t="inlineStr">
        <is>
          <t>Fasteners/Plates (box)</t>
        </is>
      </c>
      <c r="C24" s="4">
        <f>CEILING($C$9/4,1)</f>
        <v/>
      </c>
      <c r="D24" s="4" t="inlineStr">
        <is>
          <t>boxes</t>
        </is>
      </c>
      <c r="E24" s="18" t="n">
        <v>115</v>
      </c>
      <c r="F24" s="8">
        <f>C24*E24</f>
        <v/>
      </c>
    </row>
    <row r="25">
      <c r="B25" s="4" t="inlineStr">
        <is>
          <t>Dumpster/Disposal</t>
        </is>
      </c>
      <c r="C25" s="4" t="inlineStr">
        <is>
          <t>1</t>
        </is>
      </c>
      <c r="D25" s="4" t="inlineStr">
        <is>
          <t>each</t>
        </is>
      </c>
      <c r="E25" s="18" t="n">
        <v>550</v>
      </c>
      <c r="F25" s="8">
        <f>C25*E25</f>
        <v/>
      </c>
    </row>
    <row r="26">
      <c r="B26" s="12" t="inlineStr">
        <is>
          <t>TOTAL MATERIAL COST:</t>
        </is>
      </c>
      <c r="E26" s="12" t="inlineStr">
        <is>
          <t>TOTAL:</t>
        </is>
      </c>
      <c r="F26" s="19">
        <f>SUM(F13:F25)</f>
        <v/>
      </c>
    </row>
  </sheetData>
  <mergeCells count="3">
    <mergeCell ref="B2:F2"/>
    <mergeCell ref="D8:F8"/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Tear-Off</t>
        </is>
      </c>
      <c r="C20" s="4" t="n">
        <v>15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Deck Repair</t>
        </is>
      </c>
      <c r="C21" s="4" t="n">
        <v>100</v>
      </c>
      <c r="D21" s="4" t="inlineStr">
        <is>
          <t>SF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Insulation Install</t>
        </is>
      </c>
      <c r="C22" s="4" t="n">
        <v>20</v>
      </c>
      <c r="D22" s="4" t="inlineStr">
        <is>
          <t>SQ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Cover Board</t>
        </is>
      </c>
      <c r="C23" s="4" t="n">
        <v>18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EPDM Membrane</t>
        </is>
      </c>
      <c r="C24" s="4" t="n">
        <v>10</v>
      </c>
      <c r="D24" s="4" t="inlineStr">
        <is>
          <t>SQ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Seam Taping</t>
        </is>
      </c>
      <c r="C25" s="4" t="n">
        <v>400</v>
      </c>
      <c r="D25" s="4" t="inlineStr">
        <is>
          <t>LF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Flashings</t>
        </is>
      </c>
      <c r="C26" s="4" t="n">
        <v>6</v>
      </c>
      <c r="D26" s="4" t="inlineStr">
        <is>
          <t>EA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Edge Metal</t>
        </is>
      </c>
      <c r="C27" s="4" t="n">
        <v>120</v>
      </c>
      <c r="D27" s="4" t="inlineStr">
        <is>
          <t>LF</t>
        </is>
      </c>
      <c r="E27" s="13" t="n"/>
      <c r="F27" s="7">
        <f>IF(C27&gt;0,E27/C27,0)</f>
        <v/>
      </c>
      <c r="G27" s="8">
        <f>F27*$C$16</f>
        <v/>
      </c>
    </row>
    <row r="28">
      <c r="B28" s="4" t="inlineStr">
        <is>
          <t>Cleanup</t>
        </is>
      </c>
      <c r="C28" s="4" t="n">
        <v>1</v>
      </c>
      <c r="D28" s="4" t="inlineStr">
        <is>
          <t>JOB</t>
        </is>
      </c>
      <c r="E28" s="13" t="n"/>
      <c r="F28" s="7">
        <f>IF(C28&gt;0,E28/C28,0)</f>
        <v/>
      </c>
      <c r="G28" s="8">
        <f>F28*$C$16</f>
        <v/>
      </c>
    </row>
    <row r="29">
      <c r="E29" s="12" t="inlineStr">
        <is>
          <t>TOTAL:</t>
        </is>
      </c>
      <c r="F29" s="25">
        <f>SUM(F20:F28)</f>
        <v/>
      </c>
      <c r="G29" s="19">
        <f>SUM(G20:G28)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Takeoff'!F26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Calculator'!G29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Calculator'!G29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Remove existing roofing system to deck</t>
        </is>
      </c>
    </row>
    <row r="14">
      <c r="B14" s="40" t="inlineStr">
        <is>
          <t>• Inspect and repair structural deck</t>
        </is>
      </c>
    </row>
    <row r="15">
      <c r="B15" s="40" t="inlineStr">
        <is>
          <t>• Install polyiso insulation with staggered joints</t>
        </is>
      </c>
    </row>
    <row r="16">
      <c r="B16" s="40" t="inlineStr">
        <is>
          <t>• Install cover board with proper fastening</t>
        </is>
      </c>
    </row>
    <row r="17">
      <c r="B17" s="40" t="inlineStr">
        <is>
          <t>• Install 60-mil EPDM membrane (fully adhered)</t>
        </is>
      </c>
    </row>
    <row r="18">
      <c r="B18" s="40" t="inlineStr">
        <is>
          <t>• Apply primer and seam tape at all laps</t>
        </is>
      </c>
    </row>
    <row r="19">
      <c r="B19" s="40" t="inlineStr">
        <is>
          <t>• Install termination bar at all perimeters and walls</t>
        </is>
      </c>
    </row>
    <row r="20">
      <c r="B20" s="40" t="inlineStr">
        <is>
          <t>• Flash all penetrations with EPDM boots</t>
        </is>
      </c>
    </row>
    <row r="21">
      <c r="B21" s="40" t="inlineStr">
        <is>
          <t>• Apply lap sealant at all terminations</t>
        </is>
      </c>
    </row>
    <row r="22">
      <c r="B22" s="40" t="inlineStr">
        <is>
          <t>• Complete cleanup and inspection</t>
        </is>
      </c>
    </row>
    <row r="24">
      <c r="B24" s="39" t="inlineStr">
        <is>
          <t>INVESTMENT BREAKDOWN</t>
        </is>
      </c>
    </row>
    <row r="25">
      <c r="B25" t="inlineStr">
        <is>
          <t>Materials:</t>
        </is>
      </c>
      <c r="E25" s="41">
        <f>Recap!C12</f>
        <v/>
      </c>
    </row>
    <row r="26">
      <c r="B26" t="inlineStr">
        <is>
          <t>Material Tax:</t>
        </is>
      </c>
      <c r="E26" s="41">
        <f>Recap!C13</f>
        <v/>
      </c>
    </row>
    <row r="27">
      <c r="B27" t="inlineStr">
        <is>
          <t>Labor:</t>
        </is>
      </c>
      <c r="E27" s="41">
        <f>Recap!C14</f>
        <v/>
      </c>
    </row>
    <row r="28">
      <c r="B28" s="12" t="inlineStr">
        <is>
          <t>Subtotal:</t>
        </is>
      </c>
      <c r="E28" s="42">
        <f>Recap!C16</f>
        <v/>
      </c>
    </row>
    <row r="29">
      <c r="B29" t="inlineStr">
        <is>
          <t>Insurance:</t>
        </is>
      </c>
      <c r="E29" s="41">
        <f>Recap!C19</f>
        <v/>
      </c>
    </row>
    <row r="30">
      <c r="B30" s="43" t="inlineStr">
        <is>
          <t>TOTAL INVESTMENT:</t>
        </is>
      </c>
      <c r="E30" s="44">
        <f>Recap!C21</f>
        <v/>
      </c>
    </row>
    <row r="32">
      <c r="B32" s="12" t="inlineStr">
        <is>
          <t>TERMS &amp; CONDITIONS</t>
        </is>
      </c>
    </row>
    <row r="33">
      <c r="B33" s="40" t="inlineStr">
        <is>
          <t>• 50% deposit required to schedule work</t>
        </is>
      </c>
    </row>
    <row r="34">
      <c r="B34" s="40" t="inlineStr">
        <is>
          <t>• Final payment due upon completion</t>
        </is>
      </c>
    </row>
    <row r="35">
      <c r="B35" s="40" t="inlineStr">
        <is>
          <t>• Proposal valid for 30 days</t>
        </is>
      </c>
    </row>
    <row r="36">
      <c r="B36" s="40" t="inlineStr">
        <is>
          <t>• Warranty: 10 years workmanship, manufacturer warranty on materials</t>
        </is>
      </c>
    </row>
    <row r="39">
      <c r="B39" t="inlineStr">
        <is>
          <t>Customer Signature: _________________________________</t>
        </is>
      </c>
    </row>
    <row r="40">
      <c r="B40" t="inlineStr">
        <is>
          <t>Date: _________________</t>
        </is>
      </c>
    </row>
  </sheetData>
  <mergeCells count="17">
    <mergeCell ref="B17:E17"/>
    <mergeCell ref="B18:E18"/>
    <mergeCell ref="B36:E36"/>
    <mergeCell ref="B35:E35"/>
    <mergeCell ref="B12:E12"/>
    <mergeCell ref="B13:E13"/>
    <mergeCell ref="B21:E21"/>
    <mergeCell ref="B16:E16"/>
    <mergeCell ref="B15:E15"/>
    <mergeCell ref="B33:E33"/>
    <mergeCell ref="B24:E24"/>
    <mergeCell ref="B19:E19"/>
    <mergeCell ref="B20:E20"/>
    <mergeCell ref="B30:D30"/>
    <mergeCell ref="B22:E22"/>
    <mergeCell ref="B14:E14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EPDM 60mil (10' wide)</t>
        </is>
      </c>
      <c r="C6" s="4" t="inlineStr">
        <is>
          <t>rolls</t>
        </is>
      </c>
      <c r="D6" s="18" t="n">
        <v>395</v>
      </c>
      <c r="E6" s="45" t="n"/>
    </row>
    <row r="7">
      <c r="B7" s="4" t="inlineStr">
        <is>
          <t>EPDM 90mil (10' wide)</t>
        </is>
      </c>
      <c r="C7" s="4" t="inlineStr">
        <is>
          <t>rolls</t>
        </is>
      </c>
      <c r="D7" s="18" t="n">
        <v>525</v>
      </c>
      <c r="E7" s="45" t="n"/>
    </row>
    <row r="8">
      <c r="B8" s="4" t="inlineStr">
        <is>
          <t>Polyiso 2.5" (4x8)</t>
        </is>
      </c>
      <c r="C8" s="4" t="inlineStr">
        <is>
          <t>sheets</t>
        </is>
      </c>
      <c r="D8" s="18" t="n">
        <v>48</v>
      </c>
      <c r="E8" s="45" t="n"/>
    </row>
    <row r="9">
      <c r="B9" s="4" t="inlineStr">
        <is>
          <t>Cover Board 1/2"</t>
        </is>
      </c>
      <c r="C9" s="4" t="inlineStr">
        <is>
          <t>sheets</t>
        </is>
      </c>
      <c r="D9" s="18" t="n">
        <v>28</v>
      </c>
      <c r="E9" s="45" t="n"/>
    </row>
    <row r="10">
      <c r="B10" s="4" t="inlineStr">
        <is>
          <t>EPDM Bonding Adhesive</t>
        </is>
      </c>
      <c r="C10" s="4" t="inlineStr">
        <is>
          <t>5-gal</t>
        </is>
      </c>
      <c r="D10" s="18" t="n">
        <v>175</v>
      </c>
      <c r="E10" s="45" t="n"/>
    </row>
    <row r="11">
      <c r="B11" s="4" t="inlineStr">
        <is>
          <t>EPDM Primer</t>
        </is>
      </c>
      <c r="C11" s="4" t="inlineStr">
        <is>
          <t>gallons</t>
        </is>
      </c>
      <c r="D11" s="18" t="n">
        <v>48</v>
      </c>
      <c r="E11" s="45" t="n"/>
    </row>
    <row r="12">
      <c r="B12" s="4" t="inlineStr">
        <is>
          <t>Seam Tape 3"</t>
        </is>
      </c>
      <c r="C12" s="4" t="inlineStr">
        <is>
          <t>rolls</t>
        </is>
      </c>
      <c r="D12" s="18" t="n">
        <v>95</v>
      </c>
      <c r="E12" s="45" t="n"/>
    </row>
    <row r="13">
      <c r="B13" s="4" t="inlineStr">
        <is>
          <t>Lap Sealant</t>
        </is>
      </c>
      <c r="C13" s="4" t="inlineStr">
        <is>
          <t>tubes</t>
        </is>
      </c>
      <c r="D13" s="18" t="n">
        <v>14</v>
      </c>
      <c r="E13" s="45" t="n"/>
    </row>
    <row r="14">
      <c r="B14" s="4" t="inlineStr">
        <is>
          <t>Termination Bar (10')</t>
        </is>
      </c>
      <c r="C14" s="4" t="inlineStr">
        <is>
          <t>pcs</t>
        </is>
      </c>
      <c r="D14" s="18" t="n">
        <v>18</v>
      </c>
      <c r="E14" s="45" t="n"/>
    </row>
    <row r="15">
      <c r="B15" s="4" t="inlineStr">
        <is>
          <t>Edge Metal</t>
        </is>
      </c>
      <c r="C15" s="4" t="inlineStr">
        <is>
          <t>10' pcs</t>
        </is>
      </c>
      <c r="D15" s="18" t="n">
        <v>32</v>
      </c>
      <c r="E15" s="45" t="n"/>
    </row>
    <row r="16">
      <c r="B16" s="4" t="inlineStr">
        <is>
          <t>EPDM Pipe Boots</t>
        </is>
      </c>
      <c r="C16" s="4" t="inlineStr">
        <is>
          <t>each</t>
        </is>
      </c>
      <c r="D16" s="18" t="n">
        <v>58</v>
      </c>
      <c r="E16" s="45" t="n"/>
    </row>
    <row r="17">
      <c r="B17" s="4" t="inlineStr">
        <is>
          <t>Fasteners/Plates (box)</t>
        </is>
      </c>
      <c r="C17" s="4" t="inlineStr">
        <is>
          <t>boxes</t>
        </is>
      </c>
      <c r="D17" s="18" t="n">
        <v>115</v>
      </c>
      <c r="E17" s="45" t="n"/>
    </row>
    <row r="18">
      <c r="B18" s="4" t="inlineStr">
        <is>
          <t>Dumpster/Disposal</t>
        </is>
      </c>
      <c r="C18" s="4" t="inlineStr">
        <is>
          <t>each</t>
        </is>
      </c>
      <c r="D18" s="18" t="n">
        <v>550</v>
      </c>
      <c r="E18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