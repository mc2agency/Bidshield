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aterial Takeoff" sheetId="2" state="visible" r:id="rId2"/>
    <sheet xmlns:r="http://schemas.openxmlformats.org/officeDocument/2006/relationships" name="Labor Calculator" sheetId="3" state="visible" r:id="rId3"/>
    <sheet xmlns:r="http://schemas.openxmlformats.org/officeDocument/2006/relationships" name="Recap" sheetId="4" state="visible" r:id="rId4"/>
    <sheet xmlns:r="http://schemas.openxmlformats.org/officeDocument/2006/relationships" name="Proposal" sheetId="5" state="visible" r:id="rId5"/>
    <sheet xmlns:r="http://schemas.openxmlformats.org/officeDocument/2006/relationships" name="Price Li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MM/DD/YYYY"/>
    <numFmt numFmtId="165" formatCode="&quot;$&quot;#,##0.00"/>
    <numFmt numFmtId="166" formatCode="0.0%"/>
    <numFmt numFmtId="167" formatCode="0.0"/>
    <numFmt numFmtId="168" formatCode="MM/DD/YY"/>
  </numFmts>
  <fonts count="1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sz val="9"/>
    </font>
    <font>
      <b val="1"/>
      <sz val="14"/>
    </font>
    <font>
      <b val="1"/>
      <color rgb="00FFFFFF"/>
      <sz val="12"/>
    </font>
    <font>
      <i val="1"/>
      <color rgb="0064748B"/>
      <sz val="7"/>
    </font>
    <font>
      <i val="1"/>
      <color rgb="0064748B"/>
      <sz val="8"/>
    </font>
    <font>
      <b val="1"/>
      <color rgb="00FFFFFF"/>
      <sz val="14"/>
    </font>
    <font>
      <i val="1"/>
      <color rgb="0064748B"/>
      <sz val="9"/>
    </font>
    <font>
      <b val="1"/>
      <sz val="12"/>
    </font>
    <font>
      <b val="1"/>
      <color rgb="0064748B"/>
      <sz val="9"/>
    </font>
    <font>
      <color rgb="0064748B"/>
      <sz val="9"/>
    </font>
    <font>
      <b val="1"/>
      <color rgb="0010B981"/>
      <sz val="20"/>
    </font>
    <font>
      <b val="1"/>
      <color rgb="00FFFFFF"/>
    </font>
    <font>
      <sz val="9"/>
    </font>
    <font>
      <b val="1"/>
      <sz val="11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0B981"/>
        <bgColor rgb="0010B981"/>
      </patternFill>
    </fill>
    <fill>
      <patternFill patternType="solid">
        <fgColor rgb="00F1F5F9"/>
        <bgColor rgb="00F1F5F9"/>
      </patternFill>
    </fill>
    <fill>
      <patternFill patternType="solid">
        <fgColor rgb="00D1FAE5"/>
        <bgColor rgb="00D1FAE5"/>
      </patternFill>
    </fill>
    <fill>
      <patternFill patternType="solid">
        <fgColor rgb="00FEF3C7"/>
        <bgColor rgb="00FEF3C7"/>
      </patternFill>
    </fill>
    <fill>
      <patternFill patternType="solid">
        <fgColor rgb="003B82F6"/>
        <bgColor rgb="003B82F6"/>
      </patternFill>
    </fill>
  </fills>
  <borders count="5">
    <border>
      <left/>
      <right/>
      <top/>
      <bottom/>
      <diagonal/>
    </border>
    <border>
      <left style="thin">
        <color rgb="0064748B"/>
      </left>
      <right style="thin">
        <color rgb="0064748B"/>
      </right>
      <top style="thin">
        <color rgb="0064748B"/>
      </top>
      <bottom style="thin">
        <color rgb="0064748B"/>
      </bottom>
    </border>
    <border>
      <left/>
      <right/>
      <top style="thin">
        <color rgb="0064748B"/>
      </top>
      <bottom/>
      <diagonal/>
    </border>
    <border>
      <left/>
      <right style="thin">
        <color rgb="0064748B"/>
      </right>
      <top style="thin">
        <color rgb="0064748B"/>
      </top>
      <bottom/>
      <diagonal/>
    </border>
    <border>
      <left/>
      <right style="thin">
        <color rgb="0064748B"/>
      </right>
      <top style="thin">
        <color rgb="0064748B"/>
      </top>
      <bottom style="thin">
        <color rgb="0064748B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0" borderId="0" pivotButton="0" quotePrefix="0" xfId="0"/>
    <xf numFmtId="0" fontId="0" fillId="0" borderId="1" pivotButton="0" quotePrefix="0" xfId="0"/>
    <xf numFmtId="0" fontId="0" fillId="0" borderId="4" pivotButton="0" quotePrefix="0" xfId="0"/>
    <xf numFmtId="164" fontId="0" fillId="0" borderId="1" pivotButton="0" quotePrefix="0" xfId="0"/>
    <xf numFmtId="2" fontId="0" fillId="0" borderId="1" pivotButton="0" quotePrefix="0" xfId="0"/>
    <xf numFmtId="165" fontId="0" fillId="0" borderId="1" pivotButton="0" quotePrefix="0" xfId="0"/>
    <xf numFmtId="0" fontId="4" fillId="4" borderId="0" pivotButton="0" quotePrefix="0" xfId="0"/>
    <xf numFmtId="165" fontId="4" fillId="4" borderId="1" pivotButton="0" quotePrefix="0" xfId="0"/>
    <xf numFmtId="0" fontId="5" fillId="2" borderId="0" pivotButton="0" quotePrefix="0" xfId="0"/>
    <xf numFmtId="0" fontId="2" fillId="0" borderId="0" pivotButton="0" quotePrefix="0" xfId="0"/>
    <xf numFmtId="0" fontId="0" fillId="5" borderId="1" pivotButton="0" quotePrefix="0" xfId="0"/>
    <xf numFmtId="9" fontId="0" fillId="0" borderId="1" pivotButton="0" quotePrefix="0" xfId="0"/>
    <xf numFmtId="0" fontId="6" fillId="0" borderId="0" pivotButton="0" quotePrefix="0" xfId="0"/>
    <xf numFmtId="2" fontId="2" fillId="0" borderId="1" pivotButton="0" quotePrefix="0" xfId="0"/>
    <xf numFmtId="0" fontId="3" fillId="3" borderId="1" pivotButton="0" quotePrefix="0" xfId="0"/>
    <xf numFmtId="165" fontId="0" fillId="5" borderId="1" pivotButton="0" quotePrefix="0" xfId="0"/>
    <xf numFmtId="165" fontId="2" fillId="4" borderId="1" pivotButton="0" quotePrefix="0" xfId="0"/>
    <xf numFmtId="0" fontId="2" fillId="5" borderId="0" pivotButton="0" quotePrefix="0" xfId="0"/>
    <xf numFmtId="0" fontId="7" fillId="0" borderId="0" pivotButton="0" quotePrefix="0" xfId="0"/>
    <xf numFmtId="166" fontId="0" fillId="5" borderId="1" pivotButton="0" quotePrefix="0" xfId="0"/>
    <xf numFmtId="0" fontId="2" fillId="4" borderId="0" pivotButton="0" quotePrefix="0" xfId="0"/>
    <xf numFmtId="165" fontId="2" fillId="0" borderId="1" pivotButton="0" quotePrefix="0" xfId="0"/>
    <xf numFmtId="167" fontId="2" fillId="0" borderId="1" pivotButton="0" quotePrefix="0" xfId="0"/>
    <xf numFmtId="0" fontId="8" fillId="2" borderId="0" pivotButton="0" quotePrefix="0" xfId="0"/>
    <xf numFmtId="0" fontId="9" fillId="0" borderId="0" pivotButton="0" quotePrefix="0" xfId="0"/>
    <xf numFmtId="10" fontId="0" fillId="5" borderId="1" pivotButton="0" quotePrefix="0" xfId="0"/>
    <xf numFmtId="0" fontId="10" fillId="4" borderId="0" pivotButton="0" quotePrefix="0" xfId="0"/>
    <xf numFmtId="165" fontId="10" fillId="4" borderId="1" pivotButton="0" quotePrefix="0" xfId="0"/>
    <xf numFmtId="0" fontId="11" fillId="0" borderId="0" pivotButton="0" quotePrefix="0" xfId="0"/>
    <xf numFmtId="0" fontId="12" fillId="0" borderId="0" pivotButton="0" quotePrefix="0" xfId="0"/>
    <xf numFmtId="165" fontId="12" fillId="0" borderId="0" pivotButton="0" quotePrefix="0" xfId="0"/>
    <xf numFmtId="10" fontId="12" fillId="0" borderId="0" pivotButton="0" quotePrefix="0" xfId="0"/>
    <xf numFmtId="0" fontId="13" fillId="0" borderId="0" pivotButton="0" quotePrefix="0" xfId="0"/>
    <xf numFmtId="0" fontId="7" fillId="0" borderId="0" applyAlignment="1" pivotButton="0" quotePrefix="0" xfId="0">
      <alignment horizontal="right"/>
    </xf>
    <xf numFmtId="0" fontId="4" fillId="0" borderId="0" pivotButton="0" quotePrefix="0" xfId="0"/>
    <xf numFmtId="164" fontId="0" fillId="0" borderId="0" pivotButton="0" quotePrefix="0" xfId="0"/>
    <xf numFmtId="0" fontId="14" fillId="2" borderId="0" pivotButton="0" quotePrefix="0" xfId="0"/>
    <xf numFmtId="0" fontId="15" fillId="0" borderId="0" pivotButton="0" quotePrefix="0" xfId="0"/>
    <xf numFmtId="165" fontId="0" fillId="0" borderId="0" pivotButton="0" quotePrefix="0" xfId="0"/>
    <xf numFmtId="165" fontId="2" fillId="0" borderId="0" pivotButton="0" quotePrefix="0" xfId="0"/>
    <xf numFmtId="0" fontId="16" fillId="0" borderId="0" pivotButton="0" quotePrefix="0" xfId="0"/>
    <xf numFmtId="165" fontId="17" fillId="6" borderId="0" pivotButton="0" quotePrefix="0" xfId="0"/>
    <xf numFmtId="168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5"/>
  <sheetViews>
    <sheetView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20" customWidth="1" min="3" max="3"/>
    <col width="12" customWidth="1" min="4" max="4"/>
    <col width="25" customWidth="1" min="5" max="5"/>
  </cols>
  <sheetData>
    <row r="2">
      <c r="B2" s="1" t="inlineStr">
        <is>
          <t>MC2 ESTIMATING - TPO MEMBRANE</t>
        </is>
      </c>
    </row>
    <row r="4">
      <c r="B4" s="2" t="inlineStr">
        <is>
          <t>PROJECT INFORMATION</t>
        </is>
      </c>
    </row>
    <row r="5">
      <c r="B5" s="3" t="inlineStr">
        <is>
          <t>Project Name:</t>
        </is>
      </c>
      <c r="C5" s="4" t="n"/>
      <c r="D5" s="5" t="n"/>
    </row>
    <row r="6">
      <c r="B6" s="3" t="inlineStr">
        <is>
          <t>Address:</t>
        </is>
      </c>
      <c r="C6" s="4" t="n"/>
      <c r="D6" s="5" t="n"/>
    </row>
    <row r="7">
      <c r="B7" s="3" t="inlineStr">
        <is>
          <t>City, State ZIP:</t>
        </is>
      </c>
      <c r="C7" s="4" t="n"/>
      <c r="D7" s="5" t="n"/>
    </row>
    <row r="8">
      <c r="B8" s="3" t="inlineStr">
        <is>
          <t>Client:</t>
        </is>
      </c>
      <c r="C8" s="4" t="n"/>
      <c r="D8" s="5" t="n"/>
    </row>
    <row r="9">
      <c r="B9" s="3" t="inlineStr">
        <is>
          <t>Phone:</t>
        </is>
      </c>
      <c r="C9" s="4" t="n"/>
      <c r="D9" s="5" t="n"/>
    </row>
    <row r="10">
      <c r="B10" s="3" t="inlineStr">
        <is>
          <t>Email:</t>
        </is>
      </c>
      <c r="C10" s="4" t="n"/>
      <c r="D10" s="5" t="n"/>
    </row>
    <row r="11">
      <c r="B11" s="3" t="inlineStr">
        <is>
          <t>Date:</t>
        </is>
      </c>
      <c r="C11" s="6">
        <f>TODAY()</f>
        <v/>
      </c>
      <c r="D11" s="5" t="n"/>
    </row>
    <row r="12">
      <c r="B12" s="3" t="inlineStr">
        <is>
          <t>Estimator:</t>
        </is>
      </c>
      <c r="C12" s="4" t="n"/>
      <c r="D12" s="5" t="n"/>
    </row>
    <row r="14">
      <c r="B14" s="2" t="inlineStr">
        <is>
          <t>ESTIMATE SUMMARY</t>
        </is>
      </c>
    </row>
    <row r="15">
      <c r="B15" t="inlineStr">
        <is>
          <t>Total Roof Squares:</t>
        </is>
      </c>
      <c r="C15" s="7">
        <f>'Material Takeoff'!C9</f>
        <v/>
      </c>
    </row>
    <row r="16">
      <c r="B16" t="inlineStr">
        <is>
          <t>Materials:</t>
        </is>
      </c>
      <c r="C16" s="8">
        <f>Recap!C14</f>
        <v/>
      </c>
    </row>
    <row r="17">
      <c r="B17" t="inlineStr">
        <is>
          <t>Material Tax:</t>
        </is>
      </c>
      <c r="C17" s="8">
        <f>Recap!C15</f>
        <v/>
      </c>
    </row>
    <row r="18">
      <c r="B18" t="inlineStr">
        <is>
          <t>Labor + Burden:</t>
        </is>
      </c>
      <c r="C18" s="8">
        <f>Recap!C16</f>
        <v/>
      </c>
    </row>
    <row r="19">
      <c r="B19" t="inlineStr">
        <is>
          <t>Subs/Equipment:</t>
        </is>
      </c>
      <c r="C19" s="8">
        <f>Recap!C17</f>
        <v/>
      </c>
    </row>
    <row r="20">
      <c r="B20" t="inlineStr">
        <is>
          <t>Subtotal:</t>
        </is>
      </c>
      <c r="C20" s="8">
        <f>Recap!C18</f>
        <v/>
      </c>
    </row>
    <row r="21">
      <c r="B21" t="inlineStr">
        <is>
          <t>Profit:</t>
        </is>
      </c>
      <c r="C21" s="8">
        <f>Recap!C19</f>
        <v/>
      </c>
    </row>
    <row r="22">
      <c r="B22" t="inlineStr">
        <is>
          <t>Total:</t>
        </is>
      </c>
      <c r="C22" s="8">
        <f>Recap!C20</f>
        <v/>
      </c>
    </row>
    <row r="23">
      <c r="B23" t="inlineStr">
        <is>
          <t>Insurance:</t>
        </is>
      </c>
      <c r="C23" s="8">
        <f>Recap!C21</f>
        <v/>
      </c>
    </row>
    <row r="25">
      <c r="B25" s="9" t="inlineStr">
        <is>
          <t>GRAND TOTAL:</t>
        </is>
      </c>
      <c r="D25" s="10">
        <f>Recap!C23</f>
        <v/>
      </c>
    </row>
  </sheetData>
  <mergeCells count="12">
    <mergeCell ref="C12:D12"/>
    <mergeCell ref="C6:D6"/>
    <mergeCell ref="C7:D7"/>
    <mergeCell ref="B4:E4"/>
    <mergeCell ref="C10:D10"/>
    <mergeCell ref="B25:C25"/>
    <mergeCell ref="C11:D11"/>
    <mergeCell ref="C5:D5"/>
    <mergeCell ref="B2:E2"/>
    <mergeCell ref="C9:D9"/>
    <mergeCell ref="C8:D8"/>
    <mergeCell ref="B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26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2" customWidth="1" min="3" max="3"/>
    <col width="10" customWidth="1" min="4" max="4"/>
    <col width="12" customWidth="1" min="5" max="5"/>
    <col width="14" customWidth="1" min="6" max="6"/>
  </cols>
  <sheetData>
    <row r="2">
      <c r="B2" s="11" t="inlineStr">
        <is>
          <t>MATERIAL TAKEOFF - TPO MEMBRANE</t>
        </is>
      </c>
    </row>
    <row r="4">
      <c r="B4" s="12" t="inlineStr">
        <is>
          <t>Roof Measurements</t>
        </is>
      </c>
    </row>
    <row r="5">
      <c r="B5" t="inlineStr">
        <is>
          <t>Length (ft):</t>
        </is>
      </c>
      <c r="C5" s="13" t="n"/>
    </row>
    <row r="6">
      <c r="B6" t="inlineStr">
        <is>
          <t>Width (ft):</t>
        </is>
      </c>
      <c r="C6" s="13" t="n"/>
    </row>
    <row r="7">
      <c r="B7" t="inlineStr">
        <is>
          <t>Waste Factor:</t>
        </is>
      </c>
      <c r="C7" s="14" t="n">
        <v>0.1</v>
      </c>
    </row>
    <row r="8">
      <c r="B8" t="inlineStr">
        <is>
          <t>Pitch Multiplier:</t>
        </is>
      </c>
      <c r="C8" s="7" t="n">
        <v>1</v>
      </c>
      <c r="D8" s="15" t="inlineStr">
        <is>
          <t>(Flat=1.00, 4/12=1.05, 6/12=1.12, 8/12=1.20, 10/12=1.30, 12/12=1.41)</t>
        </is>
      </c>
    </row>
    <row r="9">
      <c r="B9" s="12" t="inlineStr">
        <is>
          <t>Total Roof Squares:</t>
        </is>
      </c>
      <c r="C9" s="16">
        <f>IF(AND(C5&lt;&gt;"",C6&lt;&gt;""),((C5*C6)/100)*(1+C7)*C8,0)</f>
        <v/>
      </c>
    </row>
    <row r="11">
      <c r="B11" s="12" t="inlineStr">
        <is>
          <t>Materials Required</t>
        </is>
      </c>
    </row>
    <row r="12">
      <c r="B12" s="17" t="inlineStr">
        <is>
          <t>Item</t>
        </is>
      </c>
      <c r="C12" s="17" t="inlineStr">
        <is>
          <t>Quantity</t>
        </is>
      </c>
      <c r="D12" s="17" t="inlineStr">
        <is>
          <t>Unit</t>
        </is>
      </c>
      <c r="E12" s="17" t="inlineStr">
        <is>
          <t>Unit Price</t>
        </is>
      </c>
      <c r="F12" s="17" t="inlineStr">
        <is>
          <t>Total</t>
        </is>
      </c>
    </row>
    <row r="13">
      <c r="B13" s="4" t="inlineStr">
        <is>
          <t>TPO Membrane 60mil (10')</t>
        </is>
      </c>
      <c r="C13" s="4" t="n">
        <v>0</v>
      </c>
      <c r="D13" s="4" t="inlineStr">
        <is>
          <t>rolls</t>
        </is>
      </c>
      <c r="E13" s="18" t="n">
        <v>485</v>
      </c>
      <c r="F13" s="8">
        <f>C13*E13</f>
        <v/>
      </c>
    </row>
    <row r="14">
      <c r="B14" s="4" t="inlineStr">
        <is>
          <t>TPO Membrane 80mil (10')</t>
        </is>
      </c>
      <c r="C14" s="4" t="n">
        <v>0</v>
      </c>
      <c r="D14" s="4" t="inlineStr">
        <is>
          <t>rolls</t>
        </is>
      </c>
      <c r="E14" s="18" t="n">
        <v>625</v>
      </c>
      <c r="F14" s="8">
        <f>C14*E14</f>
        <v/>
      </c>
    </row>
    <row r="15">
      <c r="B15" s="4" t="inlineStr">
        <is>
          <t>Polyiso 2.5" (4x8)</t>
        </is>
      </c>
      <c r="C15" s="4">
        <f>CEILING($C$9*100/32,1)</f>
        <v/>
      </c>
      <c r="D15" s="4" t="inlineStr">
        <is>
          <t>sheets</t>
        </is>
      </c>
      <c r="E15" s="18" t="n">
        <v>48</v>
      </c>
      <c r="F15" s="8">
        <f>C15*E15</f>
        <v/>
      </c>
    </row>
    <row r="16">
      <c r="B16" s="4" t="inlineStr">
        <is>
          <t>Polyiso 1.5" tapered</t>
        </is>
      </c>
      <c r="C16" s="4" t="n">
        <v>0</v>
      </c>
      <c r="D16" s="4" t="inlineStr">
        <is>
          <t>sheets</t>
        </is>
      </c>
      <c r="E16" s="18" t="n">
        <v>42</v>
      </c>
      <c r="F16" s="8">
        <f>C16*E16</f>
        <v/>
      </c>
    </row>
    <row r="17">
      <c r="B17" s="4" t="inlineStr">
        <is>
          <t>DensDeck 1/4" (4x8)</t>
        </is>
      </c>
      <c r="C17" s="4">
        <f>CEILING($C$9*100/32,1)</f>
        <v/>
      </c>
      <c r="D17" s="4" t="inlineStr">
        <is>
          <t>sheets</t>
        </is>
      </c>
      <c r="E17" s="18" t="n">
        <v>32</v>
      </c>
      <c r="F17" s="8">
        <f>C17*E17</f>
        <v/>
      </c>
    </row>
    <row r="18">
      <c r="B18" s="4" t="inlineStr">
        <is>
          <t>TPO Bonding Adhesive</t>
        </is>
      </c>
      <c r="C18" s="4">
        <f>CEILING($C$9/8,1)</f>
        <v/>
      </c>
      <c r="D18" s="4" t="inlineStr">
        <is>
          <t>5-gal</t>
        </is>
      </c>
      <c r="E18" s="18" t="n">
        <v>195</v>
      </c>
      <c r="F18" s="8">
        <f>C18*E18</f>
        <v/>
      </c>
    </row>
    <row r="19">
      <c r="B19" s="4" t="inlineStr">
        <is>
          <t>TPO Seam Tape 6"</t>
        </is>
      </c>
      <c r="C19" s="4" t="n">
        <v>0</v>
      </c>
      <c r="D19" s="4" t="inlineStr">
        <is>
          <t>rolls</t>
        </is>
      </c>
      <c r="E19" s="18" t="n">
        <v>145</v>
      </c>
      <c r="F19" s="8">
        <f>C19*E19</f>
        <v/>
      </c>
    </row>
    <row r="20">
      <c r="B20" s="4" t="inlineStr">
        <is>
          <t>Termination Bar (10')</t>
        </is>
      </c>
      <c r="C20" s="4" t="n">
        <v>0</v>
      </c>
      <c r="D20" s="4" t="inlineStr">
        <is>
          <t>pcs</t>
        </is>
      </c>
      <c r="E20" s="18" t="n">
        <v>18</v>
      </c>
      <c r="F20" s="8">
        <f>C20*E20</f>
        <v/>
      </c>
    </row>
    <row r="21">
      <c r="B21" s="4" t="inlineStr">
        <is>
          <t>Edge Metal 24ga</t>
        </is>
      </c>
      <c r="C21" s="4" t="n">
        <v>0</v>
      </c>
      <c r="D21" s="4" t="inlineStr">
        <is>
          <t>10' pcs</t>
        </is>
      </c>
      <c r="E21" s="18" t="n">
        <v>35</v>
      </c>
      <c r="F21" s="8">
        <f>C21*E21</f>
        <v/>
      </c>
    </row>
    <row r="22">
      <c r="B22" s="4" t="inlineStr">
        <is>
          <t>TPO Pipe Boots</t>
        </is>
      </c>
      <c r="C22" s="4" t="inlineStr">
        <is>
          <t>4</t>
        </is>
      </c>
      <c r="D22" s="4" t="inlineStr">
        <is>
          <t>each</t>
        </is>
      </c>
      <c r="E22" s="18" t="n">
        <v>65</v>
      </c>
      <c r="F22" s="8">
        <f>C22*E22</f>
        <v/>
      </c>
    </row>
    <row r="23">
      <c r="B23" s="4" t="inlineStr">
        <is>
          <t>TPO Corners (in/out)</t>
        </is>
      </c>
      <c r="C23" s="4" t="inlineStr">
        <is>
          <t>8</t>
        </is>
      </c>
      <c r="D23" s="4" t="inlineStr">
        <is>
          <t>each</t>
        </is>
      </c>
      <c r="E23" s="18" t="n">
        <v>28</v>
      </c>
      <c r="F23" s="8">
        <f>C23*E23</f>
        <v/>
      </c>
    </row>
    <row r="24">
      <c r="B24" s="4" t="inlineStr">
        <is>
          <t>Fasteners/Plates (box)</t>
        </is>
      </c>
      <c r="C24" s="4">
        <f>CEILING($C$9/4,1)</f>
        <v/>
      </c>
      <c r="D24" s="4" t="inlineStr">
        <is>
          <t>boxes</t>
        </is>
      </c>
      <c r="E24" s="18" t="n">
        <v>125</v>
      </c>
      <c r="F24" s="8">
        <f>C24*E24</f>
        <v/>
      </c>
    </row>
    <row r="25">
      <c r="B25" s="4" t="inlineStr">
        <is>
          <t>Dumpster/Disposal</t>
        </is>
      </c>
      <c r="C25" s="4" t="inlineStr">
        <is>
          <t>1</t>
        </is>
      </c>
      <c r="D25" s="4" t="inlineStr">
        <is>
          <t>each</t>
        </is>
      </c>
      <c r="E25" s="18" t="n">
        <v>550</v>
      </c>
      <c r="F25" s="8">
        <f>C25*E25</f>
        <v/>
      </c>
    </row>
    <row r="26">
      <c r="B26" s="12" t="inlineStr">
        <is>
          <t>TOTAL MATERIAL COST:</t>
        </is>
      </c>
      <c r="E26" s="12" t="inlineStr">
        <is>
          <t>TOTAL:</t>
        </is>
      </c>
      <c r="F26" s="19">
        <f>SUM(F13:F25)</f>
        <v/>
      </c>
    </row>
  </sheetData>
  <mergeCells count="3">
    <mergeCell ref="B2:F2"/>
    <mergeCell ref="D8:F8"/>
    <mergeCell ref="B26:D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30"/>
  <sheetViews>
    <sheetView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2" customWidth="1" min="3" max="3"/>
    <col width="32" customWidth="1" min="4" max="4"/>
    <col width="10" customWidth="1" min="5" max="5"/>
    <col width="10" customWidth="1" min="6" max="6"/>
    <col width="14" customWidth="1" min="7" max="7"/>
  </cols>
  <sheetData>
    <row r="2">
      <c r="B2" s="11" t="inlineStr">
        <is>
          <t>LABOR CALCULATOR</t>
        </is>
      </c>
    </row>
    <row r="4">
      <c r="B4" s="20" t="inlineStr">
        <is>
          <t>LABOR BURDEN (Research-Backed Rates)</t>
        </is>
      </c>
    </row>
    <row r="5">
      <c r="B5" t="inlineStr">
        <is>
          <t>Base Hourly Rate:</t>
        </is>
      </c>
      <c r="C5" s="18" t="n">
        <v>28</v>
      </c>
      <c r="D5" s="21" t="inlineStr">
        <is>
          <t>(National avg: $21-$33/hr by state)</t>
        </is>
      </c>
    </row>
    <row r="6">
      <c r="B6" t="inlineStr">
        <is>
          <t>Workers Comp:</t>
        </is>
      </c>
      <c r="C6" s="22" t="n">
        <v>0.25</v>
      </c>
      <c r="D6" s="21" t="inlineStr">
        <is>
          <t>(Roofing avg: 20-30% - high risk trade)</t>
        </is>
      </c>
    </row>
    <row r="7">
      <c r="B7" t="inlineStr">
        <is>
          <t>FICA (SS + Medicare):</t>
        </is>
      </c>
      <c r="C7" s="22" t="n">
        <v>0.0765</v>
      </c>
      <c r="D7" s="21" t="inlineStr">
        <is>
          <t>(Fixed: 7.65%)</t>
        </is>
      </c>
    </row>
    <row r="8">
      <c r="B8" t="inlineStr">
        <is>
          <t>Federal Unemployment:</t>
        </is>
      </c>
      <c r="C8" s="22" t="n">
        <v>0.006</v>
      </c>
      <c r="D8" s="21" t="inlineStr">
        <is>
          <t>(FUTA: 0.6%)</t>
        </is>
      </c>
    </row>
    <row r="9">
      <c r="B9" t="inlineStr">
        <is>
          <t>State Unemployment:</t>
        </is>
      </c>
      <c r="C9" s="22" t="n">
        <v>0.035</v>
      </c>
      <c r="D9" s="21" t="inlineStr">
        <is>
          <t>(SUTA: varies 2-5%)</t>
        </is>
      </c>
    </row>
    <row r="10">
      <c r="B10" t="inlineStr">
        <is>
          <t>Benefits/Insurance:</t>
        </is>
      </c>
      <c r="C10" s="22" t="n">
        <v>0.08</v>
      </c>
      <c r="D10" s="21" t="inlineStr">
        <is>
          <t>(Health, 401k, etc.)</t>
        </is>
      </c>
    </row>
    <row r="11">
      <c r="B11" s="23" t="inlineStr">
        <is>
          <t>BURDENED RATE:</t>
        </is>
      </c>
      <c r="C11" s="19">
        <f>C5*(1+SUM(C6:C10))</f>
        <v/>
      </c>
      <c r="D11" s="21" t="inlineStr">
        <is>
          <t>(~45% total burden is industry standard)</t>
        </is>
      </c>
    </row>
    <row r="13">
      <c r="B13" s="12" t="inlineStr">
        <is>
          <t>CREW COSTS</t>
        </is>
      </c>
    </row>
    <row r="14">
      <c r="B14" t="inlineStr">
        <is>
          <t>Crew Size:</t>
        </is>
      </c>
      <c r="C14" s="13" t="n">
        <v>4</v>
      </c>
    </row>
    <row r="15">
      <c r="B15" t="inlineStr">
        <is>
          <t>Hours/Day:</t>
        </is>
      </c>
      <c r="C15" s="13" t="n">
        <v>8</v>
      </c>
    </row>
    <row r="16">
      <c r="B16" s="12" t="inlineStr">
        <is>
          <t>Daily Crew Cost:</t>
        </is>
      </c>
      <c r="C16" s="24">
        <f>C11*C14*C15</f>
        <v/>
      </c>
    </row>
    <row r="18">
      <c r="B18" s="2" t="inlineStr">
        <is>
          <t>PRODUCTION RATES (Industry Research)</t>
        </is>
      </c>
    </row>
    <row r="19">
      <c r="B19" s="17" t="inlineStr">
        <is>
          <t>Task</t>
        </is>
      </c>
      <c r="C19" s="17" t="inlineStr">
        <is>
          <t>Rate/Day</t>
        </is>
      </c>
      <c r="D19" s="17" t="inlineStr">
        <is>
          <t>Unit</t>
        </is>
      </c>
      <c r="E19" s="17" t="inlineStr">
        <is>
          <t>Quantity</t>
        </is>
      </c>
      <c r="F19" s="17" t="inlineStr">
        <is>
          <t>Days</t>
        </is>
      </c>
      <c r="G19" s="17" t="inlineStr">
        <is>
          <t>Cost</t>
        </is>
      </c>
    </row>
    <row r="20">
      <c r="B20" s="4" t="inlineStr">
        <is>
          <t>Tear-Off</t>
        </is>
      </c>
      <c r="C20" s="4" t="n">
        <v>15</v>
      </c>
      <c r="D20" s="4" t="inlineStr">
        <is>
          <t>SQ</t>
        </is>
      </c>
      <c r="E20" s="13" t="n"/>
      <c r="F20" s="7">
        <f>IF(C20&gt;0,E20/C20,0)</f>
        <v/>
      </c>
      <c r="G20" s="8">
        <f>F20*$C$16</f>
        <v/>
      </c>
    </row>
    <row r="21">
      <c r="B21" s="4" t="inlineStr">
        <is>
          <t>Deck Repair</t>
        </is>
      </c>
      <c r="C21" s="4" t="n">
        <v>100</v>
      </c>
      <c r="D21" s="4" t="inlineStr">
        <is>
          <t>SF</t>
        </is>
      </c>
      <c r="E21" s="13" t="n"/>
      <c r="F21" s="7">
        <f>IF(C21&gt;0,E21/C21,0)</f>
        <v/>
      </c>
      <c r="G21" s="8">
        <f>F21*$C$16</f>
        <v/>
      </c>
    </row>
    <row r="22">
      <c r="B22" s="4" t="inlineStr">
        <is>
          <t>Insulation Layer 1</t>
        </is>
      </c>
      <c r="C22" s="4" t="n">
        <v>20</v>
      </c>
      <c r="D22" s="4" t="inlineStr">
        <is>
          <t>SQ</t>
        </is>
      </c>
      <c r="E22" s="13" t="n"/>
      <c r="F22" s="7">
        <f>IF(C22&gt;0,E22/C22,0)</f>
        <v/>
      </c>
      <c r="G22" s="8">
        <f>F22*$C$16</f>
        <v/>
      </c>
    </row>
    <row r="23">
      <c r="B23" s="4" t="inlineStr">
        <is>
          <t>Insulation Layer 2</t>
        </is>
      </c>
      <c r="C23" s="4" t="n">
        <v>18</v>
      </c>
      <c r="D23" s="4" t="inlineStr">
        <is>
          <t>SQ</t>
        </is>
      </c>
      <c r="E23" s="13" t="n"/>
      <c r="F23" s="7">
        <f>IF(C23&gt;0,E23/C23,0)</f>
        <v/>
      </c>
      <c r="G23" s="8">
        <f>F23*$C$16</f>
        <v/>
      </c>
    </row>
    <row r="24">
      <c r="B24" s="4" t="inlineStr">
        <is>
          <t>Cover Board</t>
        </is>
      </c>
      <c r="C24" s="4" t="n">
        <v>18</v>
      </c>
      <c r="D24" s="4" t="inlineStr">
        <is>
          <t>SQ</t>
        </is>
      </c>
      <c r="E24" s="13" t="n"/>
      <c r="F24" s="7">
        <f>IF(C24&gt;0,E24/C24,0)</f>
        <v/>
      </c>
      <c r="G24" s="8">
        <f>F24*$C$16</f>
        <v/>
      </c>
    </row>
    <row r="25">
      <c r="B25" s="4" t="inlineStr">
        <is>
          <t>TPO Membrane</t>
        </is>
      </c>
      <c r="C25" s="4" t="n">
        <v>8</v>
      </c>
      <c r="D25" s="4" t="inlineStr">
        <is>
          <t>SQ</t>
        </is>
      </c>
      <c r="E25" s="13" t="n"/>
      <c r="F25" s="7">
        <f>IF(C25&gt;0,E25/C25,0)</f>
        <v/>
      </c>
      <c r="G25" s="8">
        <f>F25*$C$16</f>
        <v/>
      </c>
    </row>
    <row r="26">
      <c r="B26" s="4" t="inlineStr">
        <is>
          <t>Seam Welding</t>
        </is>
      </c>
      <c r="C26" s="4" t="n">
        <v>500</v>
      </c>
      <c r="D26" s="4" t="inlineStr">
        <is>
          <t>LF</t>
        </is>
      </c>
      <c r="E26" s="13" t="n"/>
      <c r="F26" s="7">
        <f>IF(C26&gt;0,E26/C26,0)</f>
        <v/>
      </c>
      <c r="G26" s="8">
        <f>F26*$C$16</f>
        <v/>
      </c>
    </row>
    <row r="27">
      <c r="B27" s="4" t="inlineStr">
        <is>
          <t>Flashings/Boots</t>
        </is>
      </c>
      <c r="C27" s="4" t="n">
        <v>6</v>
      </c>
      <c r="D27" s="4" t="inlineStr">
        <is>
          <t>EA</t>
        </is>
      </c>
      <c r="E27" s="13" t="n"/>
      <c r="F27" s="7">
        <f>IF(C27&gt;0,E27/C27,0)</f>
        <v/>
      </c>
      <c r="G27" s="8">
        <f>F27*$C$16</f>
        <v/>
      </c>
    </row>
    <row r="28">
      <c r="B28" s="4" t="inlineStr">
        <is>
          <t>Edge Metal</t>
        </is>
      </c>
      <c r="C28" s="4" t="n">
        <v>120</v>
      </c>
      <c r="D28" s="4" t="inlineStr">
        <is>
          <t>LF</t>
        </is>
      </c>
      <c r="E28" s="13" t="n"/>
      <c r="F28" s="7">
        <f>IF(C28&gt;0,E28/C28,0)</f>
        <v/>
      </c>
      <c r="G28" s="8">
        <f>F28*$C$16</f>
        <v/>
      </c>
    </row>
    <row r="29">
      <c r="B29" s="4" t="inlineStr">
        <is>
          <t>Final Cleanup</t>
        </is>
      </c>
      <c r="C29" s="4" t="n">
        <v>1</v>
      </c>
      <c r="D29" s="4" t="inlineStr">
        <is>
          <t>JOB</t>
        </is>
      </c>
      <c r="E29" s="13" t="n"/>
      <c r="F29" s="7">
        <f>IF(C29&gt;0,E29/C29,0)</f>
        <v/>
      </c>
      <c r="G29" s="8">
        <f>F29*$C$16</f>
        <v/>
      </c>
    </row>
    <row r="30">
      <c r="E30" s="12" t="inlineStr">
        <is>
          <t>TOTAL:</t>
        </is>
      </c>
      <c r="F30" s="25">
        <f>SUM(F20:F29)</f>
        <v/>
      </c>
      <c r="G30" s="19">
        <f>SUM(G20:G29)</f>
        <v/>
      </c>
    </row>
  </sheetData>
  <mergeCells count="4">
    <mergeCell ref="B2:G2"/>
    <mergeCell ref="B13:D13"/>
    <mergeCell ref="B18:G18"/>
    <mergeCell ref="B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D28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4" customWidth="1" min="3" max="3"/>
    <col width="42" customWidth="1" min="4" max="4"/>
  </cols>
  <sheetData>
    <row r="2">
      <c r="B2" s="26" t="inlineStr">
        <is>
          <t>ESTIMATE RECAP</t>
        </is>
      </c>
    </row>
    <row r="3">
      <c r="B3" s="27" t="inlineStr">
        <is>
          <t>Professional cost breakdown (Estimating Edge format)</t>
        </is>
      </c>
    </row>
    <row r="5">
      <c r="B5" s="20" t="inlineStr">
        <is>
          <t>RATES (Edit these)</t>
        </is>
      </c>
    </row>
    <row r="6">
      <c r="B6" t="inlineStr">
        <is>
          <t>Material Tax Rate:</t>
        </is>
      </c>
      <c r="C6" s="28" t="n">
        <v>0.075</v>
      </c>
      <c r="D6" s="21" t="inlineStr">
        <is>
          <t>(Sales tax - varies by state: 0-10%)</t>
        </is>
      </c>
    </row>
    <row r="7">
      <c r="B7" t="inlineStr">
        <is>
          <t>Labor Burden Rate:</t>
        </is>
      </c>
      <c r="C7" s="28" t="n">
        <v>0.45</v>
      </c>
      <c r="D7" s="21" t="inlineStr">
        <is>
          <t>(Already in Labor Calc - set to 0 if using)</t>
        </is>
      </c>
    </row>
    <row r="8">
      <c r="B8" t="inlineStr">
        <is>
          <t>Profit Margin:</t>
        </is>
      </c>
      <c r="C8" s="28" t="n">
        <v>0.2</v>
      </c>
      <c r="D8" s="21" t="inlineStr">
        <is>
          <t>(Industry avg: 15-25% on subtotal)</t>
        </is>
      </c>
    </row>
    <row r="9">
      <c r="B9" t="inlineStr">
        <is>
          <t>Insurance Rate:</t>
        </is>
      </c>
      <c r="C9" s="28" t="n">
        <v>0.02</v>
      </c>
      <c r="D9" s="21" t="inlineStr">
        <is>
          <t>(GL on total: 1.5-3%)</t>
        </is>
      </c>
    </row>
    <row r="11">
      <c r="B11" s="2" t="inlineStr">
        <is>
          <t>ESTIMATE BREAKDOWN</t>
        </is>
      </c>
    </row>
    <row r="12">
      <c r="B12" t="inlineStr">
        <is>
          <t>Material</t>
        </is>
      </c>
      <c r="C12" s="8">
        <f>'Material Takeoff'!F26</f>
        <v/>
      </c>
    </row>
    <row r="13">
      <c r="B13" t="inlineStr">
        <is>
          <t>Material Tax</t>
        </is>
      </c>
      <c r="C13" s="8">
        <f>C12*C6</f>
        <v/>
      </c>
    </row>
    <row r="14">
      <c r="B14" t="inlineStr">
        <is>
          <t>Labor + Burden</t>
        </is>
      </c>
      <c r="C14" s="8">
        <f>'Labor Calculator'!G30</f>
        <v/>
      </c>
    </row>
    <row r="15">
      <c r="B15" t="inlineStr">
        <is>
          <t>Subcontractors/Equipment</t>
        </is>
      </c>
      <c r="C15" s="18" t="n">
        <v>0</v>
      </c>
    </row>
    <row r="16">
      <c r="B16" s="12" t="inlineStr">
        <is>
          <t>Subtotal</t>
        </is>
      </c>
      <c r="C16" s="24">
        <f>SUM(C12:C15)</f>
        <v/>
      </c>
    </row>
    <row r="17">
      <c r="B17" t="inlineStr">
        <is>
          <t>Profit</t>
        </is>
      </c>
      <c r="C17" s="8">
        <f>C16*C8</f>
        <v/>
      </c>
    </row>
    <row r="18">
      <c r="B18" s="12" t="inlineStr">
        <is>
          <t>Total</t>
        </is>
      </c>
      <c r="C18" s="19">
        <f>C16+C17</f>
        <v/>
      </c>
    </row>
    <row r="19">
      <c r="B19" t="inlineStr">
        <is>
          <t>Insurance</t>
        </is>
      </c>
      <c r="C19" s="8">
        <f>C18*C9</f>
        <v/>
      </c>
    </row>
    <row r="21">
      <c r="B21" s="29" t="inlineStr">
        <is>
          <t>Grand Total</t>
        </is>
      </c>
      <c r="C21" s="30">
        <f>C18+C19</f>
        <v/>
      </c>
    </row>
    <row r="23">
      <c r="B23" s="31" t="inlineStr">
        <is>
          <t>REFERENCE</t>
        </is>
      </c>
    </row>
    <row r="24">
      <c r="B24" s="32" t="inlineStr">
        <is>
          <t>Base Materials:</t>
        </is>
      </c>
      <c r="C24" s="33">
        <f>C12</f>
        <v/>
      </c>
    </row>
    <row r="25">
      <c r="B25" s="32" t="inlineStr">
        <is>
          <t>Base Labor:</t>
        </is>
      </c>
      <c r="C25" s="33">
        <f>'Labor Calculator'!G30</f>
        <v/>
      </c>
    </row>
    <row r="26">
      <c r="B26" s="32" t="inlineStr">
        <is>
          <t>Profit %:</t>
        </is>
      </c>
      <c r="C26" s="34">
        <f>C8</f>
        <v/>
      </c>
    </row>
    <row r="27">
      <c r="B27" s="32" t="inlineStr">
        <is>
          <t>Profit $:</t>
        </is>
      </c>
      <c r="C27" s="33">
        <f>C17</f>
        <v/>
      </c>
    </row>
    <row r="28">
      <c r="B28" s="32" t="inlineStr">
        <is>
          <t>Cost per Square:</t>
        </is>
      </c>
      <c r="C28" s="33">
        <f>C21/'Material Takeoff'!C9</f>
        <v/>
      </c>
    </row>
  </sheetData>
  <mergeCells count="3">
    <mergeCell ref="B11:D11"/>
    <mergeCell ref="B5:D5"/>
    <mergeCell ref="B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E40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6" customWidth="1" min="3" max="3"/>
    <col width="14" customWidth="1" min="4" max="4"/>
    <col width="14" customWidth="1" min="5" max="5"/>
  </cols>
  <sheetData>
    <row r="2">
      <c r="B2" s="35" t="inlineStr">
        <is>
          <t>YOUR COMPANY NAME</t>
        </is>
      </c>
    </row>
    <row r="3">
      <c r="B3" s="27" t="inlineStr">
        <is>
          <t>Address | Phone | Email | License#</t>
        </is>
      </c>
    </row>
    <row r="4">
      <c r="D4" s="36" t="inlineStr">
        <is>
          <t>Powered by MC2 Estimating Tools</t>
        </is>
      </c>
    </row>
    <row r="6">
      <c r="B6" s="37" t="inlineStr">
        <is>
          <t>ROOFING PROPOSAL</t>
        </is>
      </c>
    </row>
    <row r="8">
      <c r="B8" s="12" t="inlineStr">
        <is>
          <t>PREPARED FOR:</t>
        </is>
      </c>
      <c r="D8" s="12" t="inlineStr">
        <is>
          <t>DATE:</t>
        </is>
      </c>
      <c r="E8" s="38">
        <f>Dashboard!C9</f>
        <v/>
      </c>
    </row>
    <row r="9">
      <c r="B9">
        <f>Dashboard!C6</f>
        <v/>
      </c>
      <c r="D9" s="12" t="inlineStr">
        <is>
          <t>PROPOSAL #:</t>
        </is>
      </c>
      <c r="E9" s="4" t="n"/>
    </row>
    <row r="10">
      <c r="B10">
        <f>Dashboard!C4</f>
        <v/>
      </c>
    </row>
    <row r="12">
      <c r="B12" s="39" t="inlineStr">
        <is>
          <t>SCOPE OF WORK</t>
        </is>
      </c>
    </row>
    <row r="13">
      <c r="B13" s="40" t="inlineStr">
        <is>
          <t>• Remove existing roofing system to structural deck</t>
        </is>
      </c>
    </row>
    <row r="14">
      <c r="B14" s="40" t="inlineStr">
        <is>
          <t>• Inspect and repair roof deck as needed</t>
        </is>
      </c>
    </row>
    <row r="15">
      <c r="B15" s="40" t="inlineStr">
        <is>
          <t>• Install tapered polyiso insulation for positive drainage</t>
        </is>
      </c>
    </row>
    <row r="16">
      <c r="B16" s="40" t="inlineStr">
        <is>
          <t>• Install polyiso cover insulation to achieve R-30</t>
        </is>
      </c>
    </row>
    <row r="17">
      <c r="B17" s="40" t="inlineStr">
        <is>
          <t>• Install 1/4" DensDeck cover board</t>
        </is>
      </c>
    </row>
    <row r="18">
      <c r="B18" s="40" t="inlineStr">
        <is>
          <t>• Install 60-mil TPO membrane (fully adhered)</t>
        </is>
      </c>
    </row>
    <row r="19">
      <c r="B19" s="40" t="inlineStr">
        <is>
          <t>• Heat-weld all seams with 100% seam inspection</t>
        </is>
      </c>
    </row>
    <row r="20">
      <c r="B20" s="40" t="inlineStr">
        <is>
          <t>• Install pre-fabricated TPO pipe boots and corners</t>
        </is>
      </c>
    </row>
    <row r="21">
      <c r="B21" s="40" t="inlineStr">
        <is>
          <t>• Install new 24ga edge metal with TPO cover</t>
        </is>
      </c>
    </row>
    <row r="22">
      <c r="B22" s="40" t="inlineStr">
        <is>
          <t>• Complete debris removal and final inspection</t>
        </is>
      </c>
    </row>
    <row r="24">
      <c r="B24" s="39" t="inlineStr">
        <is>
          <t>INVESTMENT BREAKDOWN</t>
        </is>
      </c>
    </row>
    <row r="25">
      <c r="B25" t="inlineStr">
        <is>
          <t>Materials:</t>
        </is>
      </c>
      <c r="E25" s="41">
        <f>Recap!C12</f>
        <v/>
      </c>
    </row>
    <row r="26">
      <c r="B26" t="inlineStr">
        <is>
          <t>Material Tax:</t>
        </is>
      </c>
      <c r="E26" s="41">
        <f>Recap!C13</f>
        <v/>
      </c>
    </row>
    <row r="27">
      <c r="B27" t="inlineStr">
        <is>
          <t>Labor:</t>
        </is>
      </c>
      <c r="E27" s="41">
        <f>Recap!C14</f>
        <v/>
      </c>
    </row>
    <row r="28">
      <c r="B28" s="12" t="inlineStr">
        <is>
          <t>Subtotal:</t>
        </is>
      </c>
      <c r="E28" s="42">
        <f>Recap!C16</f>
        <v/>
      </c>
    </row>
    <row r="29">
      <c r="B29" t="inlineStr">
        <is>
          <t>Insurance:</t>
        </is>
      </c>
      <c r="E29" s="41">
        <f>Recap!C19</f>
        <v/>
      </c>
    </row>
    <row r="30">
      <c r="B30" s="43" t="inlineStr">
        <is>
          <t>TOTAL INVESTMENT:</t>
        </is>
      </c>
      <c r="E30" s="44">
        <f>Recap!C21</f>
        <v/>
      </c>
    </row>
    <row r="32">
      <c r="B32" s="12" t="inlineStr">
        <is>
          <t>TERMS &amp; CONDITIONS</t>
        </is>
      </c>
    </row>
    <row r="33">
      <c r="B33" s="40" t="inlineStr">
        <is>
          <t>• 50% deposit required to schedule work</t>
        </is>
      </c>
    </row>
    <row r="34">
      <c r="B34" s="40" t="inlineStr">
        <is>
          <t>• Final payment due upon completion</t>
        </is>
      </c>
    </row>
    <row r="35">
      <c r="B35" s="40" t="inlineStr">
        <is>
          <t>• Proposal valid for 30 days</t>
        </is>
      </c>
    </row>
    <row r="36">
      <c r="B36" s="40" t="inlineStr">
        <is>
          <t>• Warranty: 10 years workmanship, manufacturer warranty on materials</t>
        </is>
      </c>
    </row>
    <row r="39">
      <c r="B39" t="inlineStr">
        <is>
          <t>Customer Signature: _________________________________</t>
        </is>
      </c>
    </row>
    <row r="40">
      <c r="B40" t="inlineStr">
        <is>
          <t>Date: _________________</t>
        </is>
      </c>
    </row>
  </sheetData>
  <mergeCells count="17">
    <mergeCell ref="B17:E17"/>
    <mergeCell ref="B18:E18"/>
    <mergeCell ref="B36:E36"/>
    <mergeCell ref="B35:E35"/>
    <mergeCell ref="B12:E12"/>
    <mergeCell ref="B13:E13"/>
    <mergeCell ref="B21:E21"/>
    <mergeCell ref="B16:E16"/>
    <mergeCell ref="B15:E15"/>
    <mergeCell ref="B33:E33"/>
    <mergeCell ref="B24:E24"/>
    <mergeCell ref="B19:E19"/>
    <mergeCell ref="B20:E20"/>
    <mergeCell ref="B30:D30"/>
    <mergeCell ref="B22:E22"/>
    <mergeCell ref="B14:E14"/>
    <mergeCell ref="B34:E3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E18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2" customWidth="1" min="3" max="3"/>
    <col width="12" customWidth="1" min="4" max="4"/>
    <col width="14" customWidth="1" min="5" max="5"/>
  </cols>
  <sheetData>
    <row r="2">
      <c r="B2" s="11" t="inlineStr">
        <is>
          <t>MATERIAL PRICE LIST</t>
        </is>
      </c>
    </row>
    <row r="3">
      <c r="B3" s="27" t="inlineStr">
        <is>
          <t>Update prices here - link to Material Takeoff</t>
        </is>
      </c>
    </row>
    <row r="5">
      <c r="B5" s="17" t="inlineStr">
        <is>
          <t>Material</t>
        </is>
      </c>
      <c r="C5" s="17" t="inlineStr">
        <is>
          <t>Unit</t>
        </is>
      </c>
      <c r="D5" s="17" t="inlineStr">
        <is>
          <t>Price</t>
        </is>
      </c>
      <c r="E5" s="17" t="inlineStr">
        <is>
          <t>Updated</t>
        </is>
      </c>
    </row>
    <row r="6">
      <c r="B6" s="4" t="inlineStr">
        <is>
          <t>TPO Membrane 60mil (10')</t>
        </is>
      </c>
      <c r="C6" s="4" t="inlineStr">
        <is>
          <t>rolls</t>
        </is>
      </c>
      <c r="D6" s="18" t="n">
        <v>485</v>
      </c>
      <c r="E6" s="45" t="n"/>
    </row>
    <row r="7">
      <c r="B7" s="4" t="inlineStr">
        <is>
          <t>TPO Membrane 80mil (10')</t>
        </is>
      </c>
      <c r="C7" s="4" t="inlineStr">
        <is>
          <t>rolls</t>
        </is>
      </c>
      <c r="D7" s="18" t="n">
        <v>625</v>
      </c>
      <c r="E7" s="45" t="n"/>
    </row>
    <row r="8">
      <c r="B8" s="4" t="inlineStr">
        <is>
          <t>Polyiso 2.5" (4x8)</t>
        </is>
      </c>
      <c r="C8" s="4" t="inlineStr">
        <is>
          <t>sheets</t>
        </is>
      </c>
      <c r="D8" s="18" t="n">
        <v>48</v>
      </c>
      <c r="E8" s="45" t="n"/>
    </row>
    <row r="9">
      <c r="B9" s="4" t="inlineStr">
        <is>
          <t>Polyiso 1.5" tapered</t>
        </is>
      </c>
      <c r="C9" s="4" t="inlineStr">
        <is>
          <t>sheets</t>
        </is>
      </c>
      <c r="D9" s="18" t="n">
        <v>42</v>
      </c>
      <c r="E9" s="45" t="n"/>
    </row>
    <row r="10">
      <c r="B10" s="4" t="inlineStr">
        <is>
          <t>DensDeck 1/4" (4x8)</t>
        </is>
      </c>
      <c r="C10" s="4" t="inlineStr">
        <is>
          <t>sheets</t>
        </is>
      </c>
      <c r="D10" s="18" t="n">
        <v>32</v>
      </c>
      <c r="E10" s="45" t="n"/>
    </row>
    <row r="11">
      <c r="B11" s="4" t="inlineStr">
        <is>
          <t>TPO Bonding Adhesive</t>
        </is>
      </c>
      <c r="C11" s="4" t="inlineStr">
        <is>
          <t>5-gal</t>
        </is>
      </c>
      <c r="D11" s="18" t="n">
        <v>195</v>
      </c>
      <c r="E11" s="45" t="n"/>
    </row>
    <row r="12">
      <c r="B12" s="4" t="inlineStr">
        <is>
          <t>TPO Seam Tape 6"</t>
        </is>
      </c>
      <c r="C12" s="4" t="inlineStr">
        <is>
          <t>rolls</t>
        </is>
      </c>
      <c r="D12" s="18" t="n">
        <v>145</v>
      </c>
      <c r="E12" s="45" t="n"/>
    </row>
    <row r="13">
      <c r="B13" s="4" t="inlineStr">
        <is>
          <t>Termination Bar (10')</t>
        </is>
      </c>
      <c r="C13" s="4" t="inlineStr">
        <is>
          <t>pcs</t>
        </is>
      </c>
      <c r="D13" s="18" t="n">
        <v>18</v>
      </c>
      <c r="E13" s="45" t="n"/>
    </row>
    <row r="14">
      <c r="B14" s="4" t="inlineStr">
        <is>
          <t>Edge Metal 24ga</t>
        </is>
      </c>
      <c r="C14" s="4" t="inlineStr">
        <is>
          <t>10' pcs</t>
        </is>
      </c>
      <c r="D14" s="18" t="n">
        <v>35</v>
      </c>
      <c r="E14" s="45" t="n"/>
    </row>
    <row r="15">
      <c r="B15" s="4" t="inlineStr">
        <is>
          <t>TPO Pipe Boots</t>
        </is>
      </c>
      <c r="C15" s="4" t="inlineStr">
        <is>
          <t>each</t>
        </is>
      </c>
      <c r="D15" s="18" t="n">
        <v>65</v>
      </c>
      <c r="E15" s="45" t="n"/>
    </row>
    <row r="16">
      <c r="B16" s="4" t="inlineStr">
        <is>
          <t>TPO Corners (in/out)</t>
        </is>
      </c>
      <c r="C16" s="4" t="inlineStr">
        <is>
          <t>each</t>
        </is>
      </c>
      <c r="D16" s="18" t="n">
        <v>28</v>
      </c>
      <c r="E16" s="45" t="n"/>
    </row>
    <row r="17">
      <c r="B17" s="4" t="inlineStr">
        <is>
          <t>Fasteners/Plates (box)</t>
        </is>
      </c>
      <c r="C17" s="4" t="inlineStr">
        <is>
          <t>boxes</t>
        </is>
      </c>
      <c r="D17" s="18" t="n">
        <v>125</v>
      </c>
      <c r="E17" s="45" t="n"/>
    </row>
    <row r="18">
      <c r="B18" s="4" t="inlineStr">
        <is>
          <t>Dumpster/Disposal</t>
        </is>
      </c>
      <c r="C18" s="4" t="inlineStr">
        <is>
          <t>each</t>
        </is>
      </c>
      <c r="D18" s="18" t="n">
        <v>550</v>
      </c>
      <c r="E18" s="45" t="n"/>
    </row>
  </sheetData>
  <mergeCells count="1"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2026-01-29T02:26:16+00:00Z</dcterms:created>
  <dcterms:modified xmlns:dcterms="http://purl.org/dc/terms/" xmlns:xsi="http://www.w3.org/2001/XMLSchema-instance" xsi:type="dcterms:W3CDTF">2026-01-29T02:26:16+00:00Z</dcterms:modified>
</cp:coreProperties>
</file>