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_Takeoff" sheetId="2" state="visible" r:id="rId2"/>
    <sheet xmlns:r="http://schemas.openxmlformats.org/officeDocument/2006/relationships" name="Labor_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_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ROOFING ESTIMATE SUMMARY</t>
        </is>
      </c>
    </row>
    <row r="3">
      <c r="A3" s="2" t="inlineStr">
        <is>
          <t>PROJECT INFORMATION</t>
        </is>
      </c>
    </row>
    <row r="4">
      <c r="A4" t="inlineStr">
        <is>
          <t>Customer Name:</t>
        </is>
      </c>
    </row>
    <row r="5">
      <c r="A5" t="inlineStr">
        <is>
          <t>Address:</t>
        </is>
      </c>
    </row>
    <row r="6">
      <c r="A6" t="inlineStr">
        <is>
          <t>Phone:</t>
        </is>
      </c>
    </row>
    <row r="7">
      <c r="A7" t="inlineStr">
        <is>
          <t>Email:</t>
        </is>
      </c>
    </row>
    <row r="8">
      <c r="A8" t="inlineStr">
        <is>
          <t>Estimate Date:</t>
        </is>
      </c>
    </row>
    <row r="9">
      <c r="A9" t="inlineStr">
        <is>
          <t>Job Number:</t>
        </is>
      </c>
    </row>
    <row r="11">
      <c r="A11" s="2" t="inlineStr">
        <is>
          <t>ESTIMATE SUMMARY</t>
        </is>
      </c>
    </row>
    <row r="12">
      <c r="A12" t="inlineStr">
        <is>
          <t>Total Roof Area (SQ)</t>
        </is>
      </c>
      <c r="B12">
        <f>Material_Takeoff!B8</f>
        <v/>
      </c>
    </row>
    <row r="13">
      <c r="A13" t="inlineStr">
        <is>
          <t>Material</t>
        </is>
      </c>
      <c r="B13" s="3">
        <f>Recap!C11</f>
        <v/>
      </c>
    </row>
    <row r="14">
      <c r="A14" t="inlineStr">
        <is>
          <t>Material Tax</t>
        </is>
      </c>
      <c r="B14" s="3">
        <f>Recap!C12</f>
        <v/>
      </c>
    </row>
    <row r="15">
      <c r="A15" t="inlineStr">
        <is>
          <t>Labor + Overburden</t>
        </is>
      </c>
      <c r="B15" s="3">
        <f>Recap!C13</f>
        <v/>
      </c>
    </row>
    <row r="16">
      <c r="A16" t="inlineStr">
        <is>
          <t>Subcontractors/Equipment</t>
        </is>
      </c>
      <c r="B16" s="3">
        <f>Recap!C14</f>
        <v/>
      </c>
    </row>
    <row r="17">
      <c r="A17" s="2" t="inlineStr">
        <is>
          <t>Subtotal</t>
        </is>
      </c>
      <c r="B17" s="4">
        <f>Recap!C15</f>
        <v/>
      </c>
    </row>
    <row r="18">
      <c r="A18" t="inlineStr">
        <is>
          <t>Profit</t>
        </is>
      </c>
      <c r="B18" s="3">
        <f>Recap!C16</f>
        <v/>
      </c>
    </row>
    <row r="19">
      <c r="A19" t="inlineStr">
        <is>
          <t>Total</t>
        </is>
      </c>
      <c r="B19" s="3">
        <f>Recap!C17</f>
        <v/>
      </c>
    </row>
    <row r="20">
      <c r="A20" t="inlineStr">
        <is>
          <t>Insurance</t>
        </is>
      </c>
      <c r="B20" s="3">
        <f>Recap!C18</f>
        <v/>
      </c>
    </row>
    <row r="21">
      <c r="A21" s="5" t="inlineStr">
        <is>
          <t>GRAND TOTAL</t>
        </is>
      </c>
      <c r="B21" s="6">
        <f>Recap!C19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Spray Foam Insulation - Material Takeoff</t>
        </is>
      </c>
    </row>
    <row r="3">
      <c r="A3" s="2" t="inlineStr">
        <is>
          <t>ROOF MEASUREMENTS</t>
        </is>
      </c>
    </row>
    <row r="4">
      <c r="A4" t="inlineStr">
        <is>
          <t>Roof Length (ft)</t>
        </is>
      </c>
      <c r="B4" t="n">
        <v>0</v>
      </c>
    </row>
    <row r="5">
      <c r="A5" t="inlineStr">
        <is>
          <t>Roof Width (ft)</t>
        </is>
      </c>
      <c r="B5" t="n">
        <v>0</v>
      </c>
    </row>
    <row r="6">
      <c r="A6" t="inlineStr">
        <is>
          <t>Waste Factor</t>
        </is>
      </c>
      <c r="B6" s="7" t="n">
        <v>0.1</v>
      </c>
    </row>
    <row r="7">
      <c r="A7" t="inlineStr">
        <is>
          <t>Pitch Multiplier</t>
        </is>
      </c>
      <c r="B7" t="n">
        <v>1.12</v>
      </c>
    </row>
    <row r="8">
      <c r="A8" t="inlineStr">
        <is>
          <t>Total Squares</t>
        </is>
      </c>
      <c r="B8">
        <f>(B4*B5*(1+B6)*B7)/100</f>
        <v/>
      </c>
    </row>
    <row r="10">
      <c r="A10" s="2" t="inlineStr">
        <is>
          <t>Item</t>
        </is>
      </c>
      <c r="B10" s="2" t="inlineStr">
        <is>
          <t>Quantity</t>
        </is>
      </c>
      <c r="C10" s="2" t="inlineStr">
        <is>
          <t>Unit</t>
        </is>
      </c>
      <c r="D10" s="2" t="inlineStr">
        <is>
          <t>Unit Price</t>
        </is>
      </c>
      <c r="E10" s="2" t="inlineStr">
        <is>
          <t>Total Cost</t>
        </is>
      </c>
    </row>
    <row r="11">
      <c r="A11" s="2" t="inlineStr">
        <is>
          <t>TEAR-OFF &amp; DISPOSAL</t>
        </is>
      </c>
    </row>
    <row r="12">
      <c r="A12" t="inlineStr">
        <is>
          <t>Surface Prep / Cleaning</t>
        </is>
      </c>
      <c r="C12" t="inlineStr">
        <is>
          <t>LS</t>
        </is>
      </c>
      <c r="D12" s="3" t="n">
        <v>200</v>
      </c>
      <c r="E12" s="3">
        <f>B12*D12</f>
        <v/>
      </c>
    </row>
    <row r="14">
      <c r="A14" s="2" t="inlineStr">
        <is>
          <t>UNDERLAYMENT &amp; ICE SHIELD</t>
        </is>
      </c>
    </row>
    <row r="15">
      <c r="A15" t="inlineStr">
        <is>
          <t>Primer/Adhesion Promoter</t>
        </is>
      </c>
      <c r="C15" t="inlineStr">
        <is>
          <t>5Gal</t>
        </is>
      </c>
      <c r="D15" s="3" t="n">
        <v>65</v>
      </c>
      <c r="E15" s="3">
        <f>B15*D15</f>
        <v/>
      </c>
    </row>
    <row r="17">
      <c r="A17" s="2" t="inlineStr">
        <is>
          <t>FIELD MATERIALS</t>
        </is>
      </c>
    </row>
    <row r="18">
      <c r="A18" t="inlineStr">
        <is>
          <t>Spray Foam Kit (lg)</t>
        </is>
      </c>
      <c r="C18" t="inlineStr">
        <is>
          <t>Kit</t>
        </is>
      </c>
      <c r="D18" s="3" t="n">
        <v>800</v>
      </c>
      <c r="E18" s="3">
        <f>B18*D18</f>
        <v/>
      </c>
    </row>
    <row r="19">
      <c r="A19" t="inlineStr">
        <is>
          <t>Spray Foam Kit (sm)</t>
        </is>
      </c>
      <c r="C19" t="inlineStr">
        <is>
          <t>Kit</t>
        </is>
      </c>
      <c r="D19" s="3" t="n">
        <v>650</v>
      </c>
      <c r="E19" s="3">
        <f>B19*D19</f>
        <v/>
      </c>
    </row>
    <row r="20">
      <c r="A20" t="inlineStr">
        <is>
          <t>Elastomeric Coating</t>
        </is>
      </c>
      <c r="C20" t="inlineStr">
        <is>
          <t>5Gal</t>
        </is>
      </c>
      <c r="D20" s="3" t="n">
        <v>120</v>
      </c>
      <c r="E20" s="3">
        <f>B20*D20</f>
        <v/>
      </c>
    </row>
    <row r="22">
      <c r="A22" s="2" t="inlineStr">
        <is>
          <t>EDGE METAL</t>
        </is>
      </c>
    </row>
    <row r="23">
      <c r="A23" t="inlineStr">
        <is>
          <t>Edge Termination</t>
        </is>
      </c>
      <c r="C23" t="inlineStr">
        <is>
          <t>LF</t>
        </is>
      </c>
      <c r="D23" s="3" t="n">
        <v>3</v>
      </c>
      <c r="E23" s="3">
        <f>B23*D23</f>
        <v/>
      </c>
    </row>
    <row r="25">
      <c r="A25" s="2" t="inlineStr">
        <is>
          <t>FLASHING</t>
        </is>
      </c>
    </row>
    <row r="26">
      <c r="A26" t="inlineStr">
        <is>
          <t>Flashing Sealant</t>
        </is>
      </c>
      <c r="C26" t="inlineStr">
        <is>
          <t>Tube</t>
        </is>
      </c>
      <c r="D26" s="3" t="n">
        <v>8</v>
      </c>
      <c r="E26" s="3">
        <f>B26*D26</f>
        <v/>
      </c>
    </row>
    <row r="27">
      <c r="A27" t="inlineStr">
        <is>
          <t>Pipe Boot Seal</t>
        </is>
      </c>
      <c r="C27" t="inlineStr">
        <is>
          <t>EA</t>
        </is>
      </c>
      <c r="D27" s="3" t="n">
        <v>15</v>
      </c>
      <c r="E27" s="3">
        <f>B27*D27</f>
        <v/>
      </c>
    </row>
    <row r="29">
      <c r="A29" s="2" t="inlineStr">
        <is>
          <t>VENTILATION</t>
        </is>
      </c>
    </row>
    <row r="30">
      <c r="A30" t="inlineStr">
        <is>
          <t>N/A - Sealed System</t>
        </is>
      </c>
      <c r="C30" t="inlineStr">
        <is>
          <t>EA</t>
        </is>
      </c>
      <c r="D30" s="3" t="n">
        <v>0</v>
      </c>
      <c r="E30" s="3">
        <f>B30*D30</f>
        <v/>
      </c>
    </row>
    <row r="32">
      <c r="A32" s="2" t="inlineStr">
        <is>
          <t>RIDGE &amp; HIP</t>
        </is>
      </c>
    </row>
    <row r="33">
      <c r="A33" t="inlineStr">
        <is>
          <t>Foam Build-up at Ridge</t>
        </is>
      </c>
      <c r="C33" t="inlineStr">
        <is>
          <t>LF</t>
        </is>
      </c>
      <c r="D33" s="3" t="n">
        <v>2</v>
      </c>
      <c r="E33" s="3">
        <f>B33*D33</f>
        <v/>
      </c>
    </row>
    <row r="35">
      <c r="A35" s="2" t="inlineStr">
        <is>
          <t>MISCELLANEOUS</t>
        </is>
      </c>
    </row>
    <row r="36">
      <c r="A36" t="inlineStr">
        <is>
          <t>Spray Gun Rental</t>
        </is>
      </c>
      <c r="C36" t="inlineStr">
        <is>
          <t>Day</t>
        </is>
      </c>
      <c r="D36" s="3" t="n">
        <v>150</v>
      </c>
      <c r="E36" s="3">
        <f>B36*D36</f>
        <v/>
      </c>
    </row>
    <row r="37">
      <c r="A37" t="inlineStr">
        <is>
          <t>Protective Suits</t>
        </is>
      </c>
      <c r="C37" t="inlineStr">
        <is>
          <t>EA</t>
        </is>
      </c>
      <c r="D37" s="3" t="n">
        <v>8</v>
      </c>
      <c r="E37" s="3">
        <f>B37*D37</f>
        <v/>
      </c>
    </row>
    <row r="38">
      <c r="A38" t="inlineStr">
        <is>
          <t>Respirators</t>
        </is>
      </c>
      <c r="C38" t="inlineStr">
        <is>
          <t>EA</t>
        </is>
      </c>
      <c r="D38" s="3" t="n">
        <v>35</v>
      </c>
      <c r="E38" s="3">
        <f>B38*D38</f>
        <v/>
      </c>
    </row>
    <row r="39">
      <c r="A39" t="inlineStr">
        <is>
          <t>Plastic Sheeting</t>
        </is>
      </c>
      <c r="C39" t="inlineStr">
        <is>
          <t>Roll</t>
        </is>
      </c>
      <c r="D39" s="3" t="n">
        <v>25</v>
      </c>
      <c r="E39" s="3">
        <f>B39*D39</f>
        <v/>
      </c>
    </row>
    <row r="41">
      <c r="A41" s="2" t="inlineStr">
        <is>
          <t>TOTAL MATERIAL COST</t>
        </is>
      </c>
      <c r="E41" s="4">
        <f>E12+E15+E18+E19+E20+E23+E26+E27+E30+E33+E36+E37+E38+E39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Spray Foam Insulation - Labor Calculator</t>
        </is>
      </c>
    </row>
    <row r="3">
      <c r="A3" s="2" t="inlineStr">
        <is>
          <t>LABOR RATES</t>
        </is>
      </c>
    </row>
    <row r="4">
      <c r="A4" t="inlineStr">
        <is>
          <t>Crew Size</t>
        </is>
      </c>
      <c r="B4" t="n">
        <v>4</v>
      </c>
    </row>
    <row r="5">
      <c r="A5" t="inlineStr">
        <is>
          <t>Hourly Rate per Person</t>
        </is>
      </c>
      <c r="B5" s="3" t="n">
        <v>40</v>
      </c>
    </row>
    <row r="6">
      <c r="A6" t="inlineStr">
        <is>
          <t>Hours per Day</t>
        </is>
      </c>
      <c r="B6" t="n">
        <v>8</v>
      </c>
    </row>
    <row r="8">
      <c r="A8" s="2" t="inlineStr">
        <is>
          <t>Item / Description</t>
        </is>
      </c>
      <c r="B8" s="2" t="inlineStr">
        <is>
          <t>Hours</t>
        </is>
      </c>
      <c r="C8" s="2" t="inlineStr">
        <is>
          <t>Total Cost</t>
        </is>
      </c>
    </row>
    <row r="9">
      <c r="A9" t="inlineStr">
        <is>
          <t>Tear-off &amp; Debris Removal</t>
        </is>
      </c>
      <c r="C9" s="3">
        <f>B9*B4*B5</f>
        <v/>
      </c>
    </row>
    <row r="10">
      <c r="A10" t="inlineStr">
        <is>
          <t>Deck Inspection &amp; Repair</t>
        </is>
      </c>
      <c r="C10" s="3">
        <f>B10*B4*B5</f>
        <v/>
      </c>
    </row>
    <row r="11">
      <c r="A11" t="inlineStr">
        <is>
          <t>Underlayment &amp; Ice Shield</t>
        </is>
      </c>
      <c r="C11" s="3">
        <f>B11*B4*B5</f>
        <v/>
      </c>
    </row>
    <row r="12">
      <c r="A12" t="inlineStr">
        <is>
          <t>Field Install</t>
        </is>
      </c>
      <c r="C12" s="3">
        <f>B12*B4*B5</f>
        <v/>
      </c>
    </row>
    <row r="13">
      <c r="A13" t="inlineStr">
        <is>
          <t>Edge Metal Install</t>
        </is>
      </c>
      <c r="C13" s="3">
        <f>B13*B4*B5</f>
        <v/>
      </c>
    </row>
    <row r="14">
      <c r="A14" t="inlineStr">
        <is>
          <t>Flashing Install</t>
        </is>
      </c>
      <c r="C14" s="3">
        <f>B14*B4*B5</f>
        <v/>
      </c>
    </row>
    <row r="15">
      <c r="A15" t="inlineStr">
        <is>
          <t>Pipe Boot &amp; Penetration Install</t>
        </is>
      </c>
      <c r="C15" s="3">
        <f>B15*B4*B5</f>
        <v/>
      </c>
    </row>
    <row r="16">
      <c r="A16" t="inlineStr">
        <is>
          <t>Ventilation Install</t>
        </is>
      </c>
      <c r="C16" s="3">
        <f>B16*B4*B5</f>
        <v/>
      </c>
    </row>
    <row r="17">
      <c r="A17" t="inlineStr">
        <is>
          <t>Ridge &amp; Hip Install</t>
        </is>
      </c>
      <c r="C17" s="3">
        <f>B17*B4*B5</f>
        <v/>
      </c>
    </row>
    <row r="18">
      <c r="A18" t="inlineStr">
        <is>
          <t>Cleanup &amp; Final Inspection</t>
        </is>
      </c>
      <c r="C18" s="3">
        <f>B18*B4*B5</f>
        <v/>
      </c>
    </row>
    <row r="20">
      <c r="A20" s="2" t="inlineStr">
        <is>
          <t>TOTAL LABOR COST</t>
        </is>
      </c>
      <c r="C20" s="4">
        <f>C9+C10+C11+C12+C13+C14+C15+C16+C17+C18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</cols>
  <sheetData>
    <row r="1">
      <c r="A1" s="1" t="inlineStr">
        <is>
          <t>ESTIMATE RECAP</t>
        </is>
      </c>
    </row>
    <row r="2">
      <c r="A2" s="8" t="inlineStr">
        <is>
          <t>Professional cost breakdown</t>
        </is>
      </c>
    </row>
    <row r="4">
      <c r="A4" s="2" t="inlineStr">
        <is>
          <t>RATES (edit these)</t>
        </is>
      </c>
    </row>
    <row r="5">
      <c r="A5" t="inlineStr">
        <is>
          <t>Material Tax Rate</t>
        </is>
      </c>
      <c r="B5" s="7" t="n">
        <v>0.075</v>
      </c>
    </row>
    <row r="6">
      <c r="A6" t="inlineStr">
        <is>
          <t>Labor Overburden Rate</t>
        </is>
      </c>
      <c r="B6" s="7" t="n">
        <v>0.25</v>
      </c>
    </row>
    <row r="7">
      <c r="A7" t="inlineStr">
        <is>
          <t>Profit Margin</t>
        </is>
      </c>
      <c r="B7" s="7" t="n">
        <v>0.25</v>
      </c>
    </row>
    <row r="8">
      <c r="A8" t="inlineStr">
        <is>
          <t>Insurance Rate</t>
        </is>
      </c>
      <c r="B8" s="7" t="n">
        <v>0.02</v>
      </c>
    </row>
    <row r="10">
      <c r="A10" s="2" t="inlineStr">
        <is>
          <t>ESTIMATE BREAKDOWN</t>
        </is>
      </c>
    </row>
    <row r="11">
      <c r="A11" t="inlineStr">
        <is>
          <t>Material</t>
        </is>
      </c>
      <c r="C11" s="3">
        <f>Material_Takeoff!E41</f>
        <v/>
      </c>
    </row>
    <row r="12">
      <c r="A12" t="inlineStr">
        <is>
          <t>Material Tax</t>
        </is>
      </c>
      <c r="C12" s="3">
        <f>C11*B5</f>
        <v/>
      </c>
    </row>
    <row r="13">
      <c r="A13" t="inlineStr">
        <is>
          <t>Labor + Overburden</t>
        </is>
      </c>
      <c r="C13" s="3">
        <f>Labor_Calculator!C20*(1+B6)</f>
        <v/>
      </c>
    </row>
    <row r="14">
      <c r="A14" t="inlineStr">
        <is>
          <t>Subcontractors/Equipment</t>
        </is>
      </c>
      <c r="C14" s="3" t="n">
        <v>0</v>
      </c>
    </row>
    <row r="15">
      <c r="A15" s="2" t="inlineStr">
        <is>
          <t>Subtotal</t>
        </is>
      </c>
      <c r="C15" s="4">
        <f>SUM(C11:C14)</f>
        <v/>
      </c>
    </row>
    <row r="16">
      <c r="A16" t="inlineStr">
        <is>
          <t>Profit</t>
        </is>
      </c>
      <c r="C16" s="3">
        <f>C15*B7</f>
        <v/>
      </c>
    </row>
    <row r="17">
      <c r="A17" s="2" t="inlineStr">
        <is>
          <t>Total</t>
        </is>
      </c>
      <c r="C17" s="4">
        <f>C15+C16</f>
        <v/>
      </c>
    </row>
    <row r="18">
      <c r="A18" t="inlineStr">
        <is>
          <t>Insurance</t>
        </is>
      </c>
      <c r="C18" s="3">
        <f>C17*B8</f>
        <v/>
      </c>
    </row>
    <row r="19">
      <c r="A19" s="5" t="inlineStr">
        <is>
          <t>GRAND TOTAL</t>
        </is>
      </c>
      <c r="C19" s="6">
        <f>C17+C18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YOUR COMPANY NAME</t>
        </is>
      </c>
    </row>
    <row r="2">
      <c r="A2" t="inlineStr">
        <is>
          <t>Address | Phone | Email | License#</t>
        </is>
      </c>
    </row>
    <row r="3">
      <c r="A3" s="8" t="inlineStr">
        <is>
          <t>Powered by MC2 Estimating Tools</t>
        </is>
      </c>
    </row>
    <row r="5">
      <c r="A5" s="1" t="inlineStr">
        <is>
          <t>Spray Foam Insulation ROOFING PROPOSAL</t>
        </is>
      </c>
    </row>
    <row r="7">
      <c r="A7" t="inlineStr">
        <is>
          <t>PREPARED FOR:</t>
        </is>
      </c>
      <c r="B7" t="inlineStr"/>
    </row>
    <row r="8">
      <c r="A8" t="inlineStr">
        <is>
          <t>DATE:</t>
        </is>
      </c>
    </row>
    <row r="9">
      <c r="A9" t="inlineStr">
        <is>
          <t>PROPOSAL #:</t>
        </is>
      </c>
    </row>
    <row r="11">
      <c r="A11" s="2" t="inlineStr">
        <is>
          <t>SCOPE OF WORK</t>
        </is>
      </c>
    </row>
    <row r="12">
      <c r="A12" t="inlineStr">
        <is>
          <t>1. Protect surrounding areas</t>
        </is>
      </c>
    </row>
    <row r="13">
      <c r="A13" t="inlineStr">
        <is>
          <t>2. Apply spray foam insulation</t>
        </is>
      </c>
    </row>
    <row r="14">
      <c r="A14" t="inlineStr">
        <is>
          <t>3. Apply elastomeric coating system</t>
        </is>
      </c>
    </row>
    <row r="15">
      <c r="A15" t="inlineStr">
        <is>
          <t>4. Trim excess foam at edges</t>
        </is>
      </c>
    </row>
    <row r="16">
      <c r="A16" t="inlineStr">
        <is>
          <t>5. Apply fire retardant if required</t>
        </is>
      </c>
    </row>
    <row r="17">
      <c r="A17" t="inlineStr">
        <is>
          <t>6. Complete cleanup &amp; inspection</t>
        </is>
      </c>
    </row>
    <row r="19">
      <c r="A19" s="2" t="inlineStr">
        <is>
          <t>INVESTMENT BREAKDOWN</t>
        </is>
      </c>
    </row>
    <row r="20">
      <c r="A20" t="inlineStr">
        <is>
          <t>Material + Tax</t>
        </is>
      </c>
      <c r="D20" s="3">
        <f>Recap!C11+Recap!C12</f>
        <v/>
      </c>
    </row>
    <row r="21">
      <c r="A21" t="inlineStr">
        <is>
          <t>Labor</t>
        </is>
      </c>
      <c r="D21" s="3">
        <f>Recap!C13</f>
        <v/>
      </c>
    </row>
    <row r="22">
      <c r="A22" s="2" t="inlineStr">
        <is>
          <t>TOTAL INVESTMENT</t>
        </is>
      </c>
      <c r="D22" s="4">
        <f>Recap!C19</f>
        <v/>
      </c>
    </row>
    <row r="24">
      <c r="A24" s="2" t="inlineStr">
        <is>
          <t>TERMS &amp; CONDITIONS</t>
        </is>
      </c>
    </row>
    <row r="25">
      <c r="A25" t="inlineStr">
        <is>
          <t>50% deposit, balance on completion</t>
        </is>
      </c>
    </row>
    <row r="26">
      <c r="A26" t="inlineStr">
        <is>
          <t>Estimate valid for 30 days</t>
        </is>
      </c>
    </row>
    <row r="28">
      <c r="A28" s="2" t="inlineStr">
        <is>
          <t>WARRANTY</t>
        </is>
      </c>
    </row>
    <row r="29">
      <c r="A29" t="inlineStr">
        <is>
          <t>Workmanship warranty: __ years</t>
        </is>
      </c>
    </row>
    <row r="30">
      <c r="A30" t="inlineStr">
        <is>
          <t>Manufacturer warranty: per specs</t>
        </is>
      </c>
    </row>
    <row r="32">
      <c r="A32" s="2" t="inlineStr">
        <is>
          <t>ACCEPTANCE</t>
        </is>
      </c>
    </row>
    <row r="33">
      <c r="A33" t="inlineStr">
        <is>
          <t>Customer Signature:</t>
        </is>
      </c>
      <c r="C33" t="inlineStr">
        <is>
          <t>____________</t>
        </is>
      </c>
    </row>
    <row r="34">
      <c r="A34" t="inlineStr">
        <is>
          <t>Date:</t>
        </is>
      </c>
      <c r="C34" t="inlineStr">
        <is>
          <t>____________</t>
        </is>
      </c>
    </row>
    <row r="35">
      <c r="A35" t="inlineStr">
        <is>
          <t>Contractor Signature:</t>
        </is>
      </c>
      <c r="C35" t="inlineStr">
        <is>
          <t>____________</t>
        </is>
      </c>
    </row>
  </sheetData>
  <mergeCells count="2">
    <mergeCell ref="A1:D1"/>
    <mergeCell ref="A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Spray Foam Insulation - Price List</t>
        </is>
      </c>
    </row>
    <row r="2">
      <c r="A2" s="8" t="inlineStr">
        <is>
          <t>Edit prices for your market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Price</t>
        </is>
      </c>
    </row>
    <row r="5">
      <c r="A5" s="2" t="inlineStr">
        <is>
          <t>TEAR-OFF &amp; DISPOSAL</t>
        </is>
      </c>
    </row>
    <row r="6">
      <c r="A6" t="inlineStr">
        <is>
          <t>Surface Prep / Cleaning</t>
        </is>
      </c>
      <c r="B6" t="inlineStr">
        <is>
          <t>LS</t>
        </is>
      </c>
      <c r="C6" s="3" t="n">
        <v>200</v>
      </c>
    </row>
    <row r="8">
      <c r="A8" s="2" t="inlineStr">
        <is>
          <t>UNDERLAYMENT &amp; ICE SHIELD</t>
        </is>
      </c>
    </row>
    <row r="9">
      <c r="A9" t="inlineStr">
        <is>
          <t>Primer/Adhesion Promoter</t>
        </is>
      </c>
      <c r="B9" t="inlineStr">
        <is>
          <t>5Gal</t>
        </is>
      </c>
      <c r="C9" s="3" t="n">
        <v>65</v>
      </c>
    </row>
    <row r="11">
      <c r="A11" s="2" t="inlineStr">
        <is>
          <t>FIELD MATERIALS</t>
        </is>
      </c>
    </row>
    <row r="12">
      <c r="A12" t="inlineStr">
        <is>
          <t>Spray Foam Kit (lg)</t>
        </is>
      </c>
      <c r="B12" t="inlineStr">
        <is>
          <t>Kit</t>
        </is>
      </c>
      <c r="C12" s="3" t="n">
        <v>800</v>
      </c>
    </row>
    <row r="13">
      <c r="A13" t="inlineStr">
        <is>
          <t>Spray Foam Kit (sm)</t>
        </is>
      </c>
      <c r="B13" t="inlineStr">
        <is>
          <t>Kit</t>
        </is>
      </c>
      <c r="C13" s="3" t="n">
        <v>650</v>
      </c>
    </row>
    <row r="14">
      <c r="A14" t="inlineStr">
        <is>
          <t>Elastomeric Coating</t>
        </is>
      </c>
      <c r="B14" t="inlineStr">
        <is>
          <t>5Gal</t>
        </is>
      </c>
      <c r="C14" s="3" t="n">
        <v>120</v>
      </c>
    </row>
    <row r="16">
      <c r="A16" s="2" t="inlineStr">
        <is>
          <t>EDGE METAL</t>
        </is>
      </c>
    </row>
    <row r="17">
      <c r="A17" t="inlineStr">
        <is>
          <t>Edge Termination</t>
        </is>
      </c>
      <c r="B17" t="inlineStr">
        <is>
          <t>LF</t>
        </is>
      </c>
      <c r="C17" s="3" t="n">
        <v>3</v>
      </c>
    </row>
    <row r="19">
      <c r="A19" s="2" t="inlineStr">
        <is>
          <t>FLASHING</t>
        </is>
      </c>
    </row>
    <row r="20">
      <c r="A20" t="inlineStr">
        <is>
          <t>Flashing Sealant</t>
        </is>
      </c>
      <c r="B20" t="inlineStr">
        <is>
          <t>Tube</t>
        </is>
      </c>
      <c r="C20" s="3" t="n">
        <v>8</v>
      </c>
    </row>
    <row r="21">
      <c r="A21" t="inlineStr">
        <is>
          <t>Pipe Boot Seal</t>
        </is>
      </c>
      <c r="B21" t="inlineStr">
        <is>
          <t>EA</t>
        </is>
      </c>
      <c r="C21" s="3" t="n">
        <v>15</v>
      </c>
    </row>
    <row r="23">
      <c r="A23" s="2" t="inlineStr">
        <is>
          <t>VENTILATION</t>
        </is>
      </c>
    </row>
    <row r="24">
      <c r="A24" t="inlineStr">
        <is>
          <t>N/A - Sealed System</t>
        </is>
      </c>
      <c r="B24" t="inlineStr">
        <is>
          <t>EA</t>
        </is>
      </c>
      <c r="C24" s="3" t="n">
        <v>0</v>
      </c>
    </row>
    <row r="26">
      <c r="A26" s="2" t="inlineStr">
        <is>
          <t>RIDGE &amp; HIP</t>
        </is>
      </c>
    </row>
    <row r="27">
      <c r="A27" t="inlineStr">
        <is>
          <t>Foam Build-up at Ridge</t>
        </is>
      </c>
      <c r="B27" t="inlineStr">
        <is>
          <t>LF</t>
        </is>
      </c>
      <c r="C27" s="3" t="n">
        <v>2</v>
      </c>
    </row>
    <row r="29">
      <c r="A29" s="2" t="inlineStr">
        <is>
          <t>MISCELLANEOUS</t>
        </is>
      </c>
    </row>
    <row r="30">
      <c r="A30" t="inlineStr">
        <is>
          <t>Spray Gun Rental</t>
        </is>
      </c>
      <c r="B30" t="inlineStr">
        <is>
          <t>Day</t>
        </is>
      </c>
      <c r="C30" s="3" t="n">
        <v>150</v>
      </c>
    </row>
    <row r="31">
      <c r="A31" t="inlineStr">
        <is>
          <t>Protective Suits</t>
        </is>
      </c>
      <c r="B31" t="inlineStr">
        <is>
          <t>EA</t>
        </is>
      </c>
      <c r="C31" s="3" t="n">
        <v>8</v>
      </c>
    </row>
    <row r="32">
      <c r="A32" t="inlineStr">
        <is>
          <t>Respirators</t>
        </is>
      </c>
      <c r="B32" t="inlineStr">
        <is>
          <t>EA</t>
        </is>
      </c>
      <c r="C32" s="3" t="n">
        <v>35</v>
      </c>
    </row>
    <row r="33">
      <c r="A33" t="inlineStr">
        <is>
          <t>Plastic Sheeting</t>
        </is>
      </c>
      <c r="B33" t="inlineStr">
        <is>
          <t>Roll</t>
        </is>
      </c>
      <c r="C33" s="3" t="n">
        <v>25</v>
      </c>
    </row>
    <row r="35">
      <c r="A35" s="2" t="inlineStr">
        <is>
          <t>LABOR</t>
        </is>
      </c>
    </row>
    <row r="36">
      <c r="A36" t="inlineStr">
        <is>
          <t>Hourly Rate per Person</t>
        </is>
      </c>
      <c r="B36" t="inlineStr">
        <is>
          <t>HR</t>
        </is>
      </c>
      <c r="C36" s="3" t="n">
        <v>40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2026-01-28T00:31:36+00:00Z</dcterms:created>
  <dcterms:modified xmlns:dcterms="http://purl.org/dc/terms/" xmlns:xsi="http://www.w3.org/2001/XMLSchema-instance" xsi:type="dcterms:W3CDTF">2026-01-28T00:31:36+00:00Z</dcterms:modified>
</cp:coreProperties>
</file>