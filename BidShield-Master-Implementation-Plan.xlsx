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Fix Tracker" sheetId="2" state="visible" r:id="rId4"/>
    <sheet name="Sprint Plan" sheetId="3" state="visible" r:id="rId5"/>
    <sheet name="Deploy Strategy" sheetId="4" state="visible" r:id="rId6"/>
  </sheets>
  <definedNames>
    <definedName function="false" hidden="true" localSheetId="1" name="_xlnm._FilterDatabase" vbProcedure="false">'Fix Tracker'!$A$4:$K$4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<sst xmlns="http://schemas.openxmlformats.org/spreadsheetml/2006/main" count="833" uniqueCount="502">
  <si>
    <t xml:space="preserve">BIDSHIELD IMPLEMENTATION DASHBOARD</t>
  </si>
  <si>
    <t xml:space="preserve">Total Items</t>
  </si>
  <si>
    <t xml:space="preserve">Done</t>
  </si>
  <si>
    <t xml:space="preserve">In Progress</t>
  </si>
  <si>
    <t xml:space="preserve">Not Started</t>
  </si>
  <si>
    <t xml:space="preserve">Critical Open</t>
  </si>
  <si>
    <t xml:space="preserve">Total Hours</t>
  </si>
  <si>
    <t xml:space="preserve">BY SEVERITY</t>
  </si>
  <si>
    <t xml:space="preserve">Severity</t>
  </si>
  <si>
    <t xml:space="preserve">Total</t>
  </si>
  <si>
    <t xml:space="preserve">Remaining</t>
  </si>
  <si>
    <t xml:space="preserve">% Complete</t>
  </si>
  <si>
    <t xml:space="preserve">CRITICAL</t>
  </si>
  <si>
    <t xml:space="preserve">HIGH</t>
  </si>
  <si>
    <t xml:space="preserve">MEDIUM</t>
  </si>
  <si>
    <t xml:space="preserve">BY SPRINT</t>
  </si>
  <si>
    <t xml:space="preserve">Sprint</t>
  </si>
  <si>
    <t xml:space="preserve">Items</t>
  </si>
  <si>
    <t xml:space="preserve">Hours</t>
  </si>
  <si>
    <t xml:space="preserve">Sprint 0 (Now)</t>
  </si>
  <si>
    <t xml:space="preserve">Sprint 1</t>
  </si>
  <si>
    <t xml:space="preserve">Sprint 2</t>
  </si>
  <si>
    <t xml:space="preserve">Sprint 3</t>
  </si>
  <si>
    <t xml:space="preserve">Sprint 4</t>
  </si>
  <si>
    <t xml:space="preserve">Backlog</t>
  </si>
  <si>
    <t xml:space="preserve">BIDSHIELD MASTER FIX TRACKER</t>
  </si>
  <si>
    <t xml:space="preserve">All audit findings + AI roadmap items | Updated April 2026</t>
  </si>
  <si>
    <t xml:space="preserve">ID</t>
  </si>
  <si>
    <t xml:space="preserve">Finding</t>
  </si>
  <si>
    <t xml:space="preserve">Component/Tab</t>
  </si>
  <si>
    <t xml:space="preserve">Status</t>
  </si>
  <si>
    <t xml:space="preserve">Effort (hrs)</t>
  </si>
  <si>
    <t xml:space="preserve">Depends On</t>
  </si>
  <si>
    <t xml:space="preserve">Fix Description</t>
  </si>
  <si>
    <t xml:space="preserve">Files to Change</t>
  </si>
  <si>
    <t xml:space="preserve">Notes</t>
  </si>
  <si>
    <t xml:space="preserve">S1</t>
  </si>
  <si>
    <t xml:space="preserve">Exposed secrets in version control</t>
  </si>
  <si>
    <t xml:space="preserve">Security</t>
  </si>
  <si>
    <t xml:space="preserve">None</t>
  </si>
  <si>
    <t xml:space="preserve">Remove .env files from git history, rotate ALL keys (Clerk, Anthropic, Stripe, HeyGen), add .env* to .gitignore</t>
  </si>
  <si>
    <t xml:space="preserve">.env.local, .env.production.local, .gitignore</t>
  </si>
  <si>
    <t xml:space="preserve">DONE if already rotated — verify</t>
  </si>
  <si>
    <t xml:space="preserve">S2</t>
  </si>
  <si>
    <t xml:space="preserve">Duplicate Stripe webhook endpoints</t>
  </si>
  <si>
    <t xml:space="preserve">Consolidate to single webhook handler, remove duplicate endpoint, verify Stripe dashboard has one URL</t>
  </si>
  <si>
    <t xml:space="preserve">api/bidshield/webhook, api/webhooks/stripe</t>
  </si>
  <si>
    <t xml:space="preserve">Check Stripe dashboard</t>
  </si>
  <si>
    <t xml:space="preserve">C1</t>
  </si>
  <si>
    <t xml:space="preserve">Zero test coverage → 259 tests added</t>
  </si>
  <si>
    <t xml:space="preserve">Testing</t>
  </si>
  <si>
    <t xml:space="preserve">COMPLETED: 9 test files, 259 tests covering roundCurrency, bidScore, scopePricingConflicts, utils, rateLimit, checklist-data, material-templates, scope-defaults</t>
  </si>
  <si>
    <t xml:space="preserve">__tests__/*</t>
  </si>
  <si>
    <t xml:space="preserve">DONE — keep expanding</t>
  </si>
  <si>
    <t xml:space="preserve">M1</t>
  </si>
  <si>
    <t xml:space="preserve">3,098-line monolith split into modules</t>
  </si>
  <si>
    <t xml:space="preserve">Maintainability</t>
  </si>
  <si>
    <t xml:space="preserve">COMPLETED: Split into 21 module files under convex/bidshield/ with re-exports maintaining API compatibility</t>
  </si>
  <si>
    <t xml:space="preserve">convex/bidshield.ts, convex/bidshield/*</t>
  </si>
  <si>
    <t xml:space="preserve">DONE — deployed to Convex</t>
  </si>
  <si>
    <t xml:space="preserve">E-04</t>
  </si>
  <si>
    <t xml:space="preserve">No critical-phase enforcement at submission</t>
  </si>
  <si>
    <t xml:space="preserve">Checklist</t>
  </si>
  <si>
    <t xml:space="preserve">E-26</t>
  </si>
  <si>
    <t xml:space="preserve">Add phase completion gates: require Scope Boundaries, Pricing, Labor phases &gt; 80% before submission is enabled</t>
  </si>
  <si>
    <t xml:space="preserve">convex/bidshield/checklist.ts, SubmissionTab or Validator</t>
  </si>
  <si>
    <t xml:space="preserve">E-06</t>
  </si>
  <si>
    <t xml:space="preserve">No scope-to-pricing flow</t>
  </si>
  <si>
    <t xml:space="preserve">Scope</t>
  </si>
  <si>
    <t xml:space="preserve">When scope items marked 'included', auto-create pricing line items. Add sync mutation that reads scope status and creates/updates pricing entries</t>
  </si>
  <si>
    <t xml:space="preserve">convex/bidshield/scope.ts, PricingTab.tsx</t>
  </si>
  <si>
    <t xml:space="preserve">Core tab-sync issue</t>
  </si>
  <si>
    <t xml:space="preserve">E-09</t>
  </si>
  <si>
    <t xml:space="preserve">Addendum price impact not linked to Pricing</t>
  </si>
  <si>
    <t xml:space="preserve">Addenda</t>
  </si>
  <si>
    <t xml:space="preserve">Wire addendum price impacts to the actual bid total. When addendum flags +$4,500, that should flow into pricing as an adjustment line item</t>
  </si>
  <si>
    <t xml:space="preserve">convex/bidshield/addenda.ts, pricing logic</t>
  </si>
  <si>
    <t xml:space="preserve">E-13</t>
  </si>
  <si>
    <t xml:space="preserve">Takeoff quantities don't flow to Materials</t>
  </si>
  <si>
    <t xml:space="preserve">Takeoff</t>
  </si>
  <si>
    <t xml:space="preserve">Create sync: takeoff total SF/LF/EA per section → material quantity calculation using coverage rates. This is the #1 workflow gap</t>
  </si>
  <si>
    <t xml:space="preserve">convex/bidshield/takeoff.ts, materials.ts, MaterialsTab.tsx</t>
  </si>
  <si>
    <t xml:space="preserve">Biggest estimator pain point</t>
  </si>
  <si>
    <t xml:space="preserve">E-19</t>
  </si>
  <si>
    <t xml:space="preserve">Labor total not synced to Pricing</t>
  </si>
  <si>
    <t xml:space="preserve">Labor</t>
  </si>
  <si>
    <t xml:space="preserve">Single source of truth: labor tab calculates total → pricing tab reads it. Remove independent laborCost field from pricing or make it read-only computed</t>
  </si>
  <si>
    <t xml:space="preserve">convex/bidshield/labor.ts, PricingTab.tsx</t>
  </si>
  <si>
    <t xml:space="preserve">Conflicting numbers = bid errors</t>
  </si>
  <si>
    <t xml:space="preserve">Validator doesn't block submission</t>
  </si>
  <si>
    <t xml:space="preserve">Validator</t>
  </si>
  <si>
    <t xml:space="preserve">Add submission gate: if bid score &lt; threshold (configurable, default 85%), disable submit button with clear message showing what needs fixing</t>
  </si>
  <si>
    <t xml:space="preserve">SubmissionTab.tsx, convex/bidshield/submissions.ts</t>
  </si>
  <si>
    <t xml:space="preserve">E-27</t>
  </si>
  <si>
    <t xml:space="preserve">Component reconciliation is advisory only</t>
  </si>
  <si>
    <t xml:space="preserve">Make reconciliation blocking: if Material + Labor + GC differs from Total Bid by &gt; 2%, require estimator acknowledgment before submission</t>
  </si>
  <si>
    <t xml:space="preserve">Validator logic, SubmissionTab.tsx</t>
  </si>
  <si>
    <t xml:space="preserve">S3</t>
  </si>
  <si>
    <t xml:space="preserve">CSP allows unsafe-inline/unsafe-eval</t>
  </si>
  <si>
    <t xml:space="preserve">Tighten Content-Security-Policy in vercel.json: remove unsafe-inline, add nonce-based script loading</t>
  </si>
  <si>
    <t xml:space="preserve">vercel.json, next.config.js</t>
  </si>
  <si>
    <t xml:space="preserve">S4</t>
  </si>
  <si>
    <t xml:space="preserve">Unauthenticated checkout endpoints</t>
  </si>
  <si>
    <t xml:space="preserve">Add Clerk auth check to checkout API routes. Reject requests without valid session</t>
  </si>
  <si>
    <t xml:space="preserve">api/checkout/*</t>
  </si>
  <si>
    <t xml:space="preserve">Revenue protection</t>
  </si>
  <si>
    <t xml:space="preserve">S5</t>
  </si>
  <si>
    <t xml:space="preserve">Missing CSRF protection on mutations</t>
  </si>
  <si>
    <t xml:space="preserve">Add CSRF token validation to all POST endpoints in api/bidshield/*</t>
  </si>
  <si>
    <t xml:space="preserve">api/bidshield/*, middleware</t>
  </si>
  <si>
    <t xml:space="preserve">P1</t>
  </si>
  <si>
    <t xml:space="preserve">N+1 RFI queries in getStats</t>
  </si>
  <si>
    <t xml:space="preserve">Performance</t>
  </si>
  <si>
    <t xml:space="preserve">Batch RFI count query: single query with projectId filter instead of per-project loop</t>
  </si>
  <si>
    <t xml:space="preserve">convex/bidshield/stats.ts</t>
  </si>
  <si>
    <t xml:space="preserve">DONE if module split fixed this — verify</t>
  </si>
  <si>
    <t xml:space="preserve">C2</t>
  </si>
  <si>
    <t xml:space="preserve">Floating-point arithmetic in pricing</t>
  </si>
  <si>
    <t xml:space="preserve">Correctness</t>
  </si>
  <si>
    <t xml:space="preserve">Apply roundCurrency() to all financial calculations. Helper already exists in _helpers.ts</t>
  </si>
  <si>
    <t xml:space="preserve">convex/bidshield/_helpers.ts, materials.ts, labor.ts, pricing logic</t>
  </si>
  <si>
    <t xml:space="preserve">roundCurrency built</t>
  </si>
  <si>
    <t xml:space="preserve">E-01</t>
  </si>
  <si>
    <t xml:space="preserve">Assembly areas don't validate against gross roof area</t>
  </si>
  <si>
    <t xml:space="preserve">Setup</t>
  </si>
  <si>
    <t xml:space="preserve">Add validation: sum of assembly areas vs gross roof area. Show warning banner if delta &gt; 5%</t>
  </si>
  <si>
    <t xml:space="preserve">SetupTab.tsx</t>
  </si>
  <si>
    <t xml:space="preserve">E-07</t>
  </si>
  <si>
    <t xml:space="preserve">No bulk status operations for scope</t>
  </si>
  <si>
    <t xml:space="preserve">Add multi-select + bulk status change (mark 5 items 'by_others' at once)</t>
  </si>
  <si>
    <t xml:space="preserve">ScopeTab.tsx, convex/bidshield/scope.ts</t>
  </si>
  <si>
    <t xml:space="preserve">E-10</t>
  </si>
  <si>
    <t xml:space="preserve">No 'Go Reprice' action from addendum</t>
  </si>
  <si>
    <t xml:space="preserve">Add button on addendum items that navigates to the affected pricing/material line item</t>
  </si>
  <si>
    <t xml:space="preserve">AddendaTab.tsx</t>
  </si>
  <si>
    <t xml:space="preserve">UX improvement</t>
  </si>
  <si>
    <t xml:space="preserve">E-11</t>
  </si>
  <si>
    <t xml:space="preserve">No RFI response deadline tracking</t>
  </si>
  <si>
    <t xml:space="preserve">RFIs</t>
  </si>
  <si>
    <t xml:space="preserve">Add responseDeadline field, show overdue RFIs with visual indicator, optional notification</t>
  </si>
  <si>
    <t xml:space="preserve">convex/bidshield/rfis.ts, RFIsTab.tsx</t>
  </si>
  <si>
    <t xml:space="preserve">E-14</t>
  </si>
  <si>
    <t xml:space="preserve">No reconciliation between section areas and gross roof area</t>
  </si>
  <si>
    <t xml:space="preserve">Show running total of takeoff areas vs gross area with visual delta indicator</t>
  </si>
  <si>
    <t xml:space="preserve">TakeoffTab.tsx</t>
  </si>
  <si>
    <t xml:space="preserve">E-16</t>
  </si>
  <si>
    <t xml:space="preserve">Quote-to-material matching is manual</t>
  </si>
  <si>
    <t xml:space="preserve">Materials</t>
  </si>
  <si>
    <t xml:space="preserve">Auto-run fuzzy matching when new quote is added. Show match confidence. Already have matching logic — need to trigger it automatically</t>
  </si>
  <si>
    <t xml:space="preserve">MaterialsTab.tsx, quote matching logic</t>
  </si>
  <si>
    <t xml:space="preserve">Fuzzy matching exists at 70% threshold</t>
  </si>
  <si>
    <t xml:space="preserve">E-17</t>
  </si>
  <si>
    <t xml:space="preserve">No waste factor validation</t>
  </si>
  <si>
    <t xml:space="preserve">Add range validation: warn if waste &lt; 3% or &gt; 25%. Show industry standard ranges by category</t>
  </si>
  <si>
    <t xml:space="preserve">MaterialsTab.tsx, convex/bidshield/materials.ts</t>
  </si>
  <si>
    <t xml:space="preserve">E-20</t>
  </si>
  <si>
    <t xml:space="preserve">AI labor assumptions not actionable</t>
  </si>
  <si>
    <t xml:space="preserve">Add drill-down: click AI assumption → see calculation breakdown, edit individual factors</t>
  </si>
  <si>
    <t xml:space="preserve">LaborTab.tsx</t>
  </si>
  <si>
    <t xml:space="preserve">E-21</t>
  </si>
  <si>
    <t xml:space="preserve">Unverified labor tasks don't block submission</t>
  </si>
  <si>
    <t xml:space="preserve">Add 'verified' checkbox per labor task. Unverified AI tasks count against bid score</t>
  </si>
  <si>
    <t xml:space="preserve">LaborTab.tsx, convex/bidshield/labor.ts</t>
  </si>
  <si>
    <t xml:space="preserve">E-24</t>
  </si>
  <si>
    <t xml:space="preserve">PDF extraction failure is silent</t>
  </si>
  <si>
    <t xml:space="preserve">Quotes</t>
  </si>
  <si>
    <t xml:space="preserve">Show clear error toast when PDF extraction returns empty or fails. Offer manual entry fallback</t>
  </si>
  <si>
    <t xml:space="preserve">MaterialsTab.tsx, QuotesTab.tsx</t>
  </si>
  <si>
    <t xml:space="preserve">E-28</t>
  </si>
  <si>
    <t xml:space="preserve">Score doesn't weight critical phases</t>
  </si>
  <si>
    <t xml:space="preserve">Add weighted scoring: Scope/Pricing/Labor/Quotes phases worth 2x. Adjust bid score formula</t>
  </si>
  <si>
    <t xml:space="preserve">lib/bidshield/bid-score.ts</t>
  </si>
  <si>
    <t xml:space="preserve">E-30</t>
  </si>
  <si>
    <t xml:space="preserve">Decision Log has no UI entry points</t>
  </si>
  <si>
    <t xml:space="preserve">Cross-Cutting</t>
  </si>
  <si>
    <t xml:space="preserve">Add 'Log Decision' button accessible from all tabs. Quick-entry modal for logging rationale</t>
  </si>
  <si>
    <t xml:space="preserve">DecisionLog component, all tabs</t>
  </si>
  <si>
    <t xml:space="preserve">E-31</t>
  </si>
  <si>
    <t xml:space="preserve">No audit trail for bid amount changes</t>
  </si>
  <si>
    <t xml:space="preserve">Log every bid total change with timestamp, old value, new value, source (which tab/action caused it)</t>
  </si>
  <si>
    <t xml:space="preserve">convex/bidshield/decisions.ts or new audit table</t>
  </si>
  <si>
    <t xml:space="preserve">E-33</t>
  </si>
  <si>
    <t xml:space="preserve">No CSV/Excel export from analytics</t>
  </si>
  <si>
    <t xml:space="preserve">Analytics</t>
  </si>
  <si>
    <t xml:space="preserve">Add export buttons on analytics dashboard. CSV for data, PDF for reports</t>
  </si>
  <si>
    <t xml:space="preserve">AnalyticsTab.tsx</t>
  </si>
  <si>
    <t xml:space="preserve">E-34</t>
  </si>
  <si>
    <t xml:space="preserve">PDF export is bid-day reference only</t>
  </si>
  <si>
    <t xml:space="preserve">Expand PDF export to full bid package: cover sheet, scope, material list, pricing breakdown, exclusions, qualifications</t>
  </si>
  <si>
    <t xml:space="preserve">PDF generation logic</t>
  </si>
  <si>
    <t xml:space="preserve">P2</t>
  </si>
  <si>
    <t xml:space="preserve">Sequential deletes in deleteProject</t>
  </si>
  <si>
    <t xml:space="preserve">Use Promise.all for parallel deletes across tables</t>
  </si>
  <si>
    <t xml:space="preserve">convex/bidshield/projects.ts</t>
  </si>
  <si>
    <t xml:space="preserve">P3</t>
  </si>
  <si>
    <t xml:space="preserve">Full table scan in quote upserting</t>
  </si>
  <si>
    <t xml:space="preserve">P5</t>
  </si>
  <si>
    <t xml:space="preserve">Use compound index lookup instead of loading all datasheets for fuzzy match</t>
  </si>
  <si>
    <t xml:space="preserve">convex/bidshield/datasheets.ts</t>
  </si>
  <si>
    <t xml:space="preserve">P4</t>
  </si>
  <si>
    <t xml:space="preserve">Waterfall query loading on dashboard</t>
  </si>
  <si>
    <t xml:space="preserve">Combine sequential useQuery calls or use Convex's query batching</t>
  </si>
  <si>
    <t xml:space="preserve">BidQualsTab.tsx</t>
  </si>
  <si>
    <t xml:space="preserve">Missing compound database indexes</t>
  </si>
  <si>
    <t xml:space="preserve">PARTIALLY DONE: Added 3 indexes in module split. Review remaining query patterns for missing indexes</t>
  </si>
  <si>
    <t xml:space="preserve">convex/schema.ts</t>
  </si>
  <si>
    <t xml:space="preserve">3 indexes added — check for more</t>
  </si>
  <si>
    <t xml:space="preserve">C3</t>
  </si>
  <si>
    <t xml:space="preserve">Race condition in labor task updates</t>
  </si>
  <si>
    <t xml:space="preserve">Use optimistic concurrency: include version field, reject updates with stale version</t>
  </si>
  <si>
    <t xml:space="preserve">convex/bidshield/labor.ts</t>
  </si>
  <si>
    <t xml:space="preserve">C4</t>
  </si>
  <si>
    <t xml:space="preserve">Webhook duplicate processing risk</t>
  </si>
  <si>
    <t xml:space="preserve">Add idempotency key tracking: store processed Stripe event IDs, skip duplicates</t>
  </si>
  <si>
    <t xml:space="preserve">api/webhooks/stripe/route.ts</t>
  </si>
  <si>
    <t xml:space="preserve">C5</t>
  </si>
  <si>
    <t xml:space="preserve">JSON.parse without try-catch</t>
  </si>
  <si>
    <t xml:space="preserve">Wrap all JSON.parse calls in try-catch with graceful fallbacks</t>
  </si>
  <si>
    <t xml:space="preserve">api/download, checkout, webhooks</t>
  </si>
  <si>
    <t xml:space="preserve">Quick fix</t>
  </si>
  <si>
    <t xml:space="preserve">M2</t>
  </si>
  <si>
    <t xml:space="preserve">Code duplication across mutations</t>
  </si>
  <si>
    <t xml:space="preserve">Extract shared validation and insert patterns into _helpers.ts</t>
  </si>
  <si>
    <t xml:space="preserve">convex/bidshield/_helpers.ts</t>
  </si>
  <si>
    <t xml:space="preserve">Module split makes this easier</t>
  </si>
  <si>
    <t xml:space="preserve">M3</t>
  </si>
  <si>
    <t xml:space="preserve">Missing numeric field validation</t>
  </si>
  <si>
    <t xml:space="preserve">Add range validators: wasteFactor 1.0-1.5, ratePerUnit &gt; 0, quantity &gt;= 0</t>
  </si>
  <si>
    <t xml:space="preserve">convex/bidshield/materials.ts, labor.ts</t>
  </si>
  <si>
    <t xml:space="preserve">M4</t>
  </si>
  <si>
    <t xml:space="preserve">Hardcoded configuration values</t>
  </si>
  <si>
    <t xml:space="preserve">Move rate limits, labor multipliers, API versions to config file or environment variables</t>
  </si>
  <si>
    <t xml:space="preserve">lib/rateLimit.ts, API routes</t>
  </si>
  <si>
    <t xml:space="preserve">Low urgency</t>
  </si>
  <si>
    <t xml:space="preserve">M5</t>
  </si>
  <si>
    <t xml:space="preserve">Missing inline documentation</t>
  </si>
  <si>
    <t xml:space="preserve">Add JSDoc to all exported functions, document financial algorithms</t>
  </si>
  <si>
    <t xml:space="preserve">All backend files</t>
  </si>
  <si>
    <t xml:space="preserve">Ongoing</t>
  </si>
  <si>
    <t xml:space="preserve">E-02</t>
  </si>
  <si>
    <t xml:space="preserve">No assembly deletion confirmation</t>
  </si>
  <si>
    <t xml:space="preserve">Add confirm dialog before deleting an assembly</t>
  </si>
  <si>
    <t xml:space="preserve">E-03</t>
  </si>
  <si>
    <t xml:space="preserve">R-value lookup fails silently</t>
  </si>
  <si>
    <t xml:space="preserve">Show toast or inline message when R-value calculation fails</t>
  </si>
  <si>
    <t xml:space="preserve">E-05</t>
  </si>
  <si>
    <t xml:space="preserve">Template save failure is silent</t>
  </si>
  <si>
    <t xml:space="preserve">Show error toast when checklist template save fails</t>
  </si>
  <si>
    <t xml:space="preserve">ChecklistTab.tsx</t>
  </si>
  <si>
    <t xml:space="preserve">E-08</t>
  </si>
  <si>
    <t xml:space="preserve">Excluded item cost not displayed</t>
  </si>
  <si>
    <t xml:space="preserve">Show excluded items with their estimated cost impact (what you're NOT including)</t>
  </si>
  <si>
    <t xml:space="preserve">ScopeTab.tsx</t>
  </si>
  <si>
    <t xml:space="preserve">E-12</t>
  </si>
  <si>
    <t xml:space="preserve">Answered RFIs can't be reopened</t>
  </si>
  <si>
    <t xml:space="preserve">Add 'Reopen' button on answered RFIs with reason field</t>
  </si>
  <si>
    <t xml:space="preserve">RFIsTab.tsx, convex/bidshield/rfis.ts</t>
  </si>
  <si>
    <t xml:space="preserve">E-15</t>
  </si>
  <si>
    <t xml:space="preserve">Line item verification has no downstream effect</t>
  </si>
  <si>
    <t xml:space="preserve">Verified takeoff items contribute to bid score. Unverified items flag as risk</t>
  </si>
  <si>
    <t xml:space="preserve">TakeoffTab.tsx, bid-score.ts</t>
  </si>
  <si>
    <t xml:space="preserve">E-18</t>
  </si>
  <si>
    <t xml:space="preserve">No material-to-bid reconciliation</t>
  </si>
  <si>
    <t xml:space="preserve">Show material total vs bid's material line with delta indicator</t>
  </si>
  <si>
    <t xml:space="preserve">MaterialsTab.tsx, pricing view</t>
  </si>
  <si>
    <t xml:space="preserve">E-22</t>
  </si>
  <si>
    <t xml:space="preserve">Markup calculation order is opaque</t>
  </si>
  <si>
    <t xml:space="preserve">General Conditions</t>
  </si>
  <si>
    <t xml:space="preserve">Show markup calculation breakdown: base cost → overhead → profit → bond → tax with running subtotal</t>
  </si>
  <si>
    <t xml:space="preserve">PricingTab or GC tab</t>
  </si>
  <si>
    <t xml:space="preserve">E-23</t>
  </si>
  <si>
    <t xml:space="preserve">No frozen base for change orders</t>
  </si>
  <si>
    <t xml:space="preserve">Add 'freeze bid base' action that locks current totals, tracks subsequent changes as deltas</t>
  </si>
  <si>
    <t xml:space="preserve">E-25</t>
  </si>
  <si>
    <t xml:space="preserve">Expired quotes remain visible</t>
  </si>
  <si>
    <t xml:space="preserve">Add visual indicator for expired quotes, option to archive. Filter by active/expired</t>
  </si>
  <si>
    <t xml:space="preserve">QuotesTab.tsx</t>
  </si>
  <si>
    <t xml:space="preserve">E-29</t>
  </si>
  <si>
    <t xml:space="preserve">No integration with actual submission</t>
  </si>
  <si>
    <t xml:space="preserve">Submission</t>
  </si>
  <si>
    <t xml:space="preserve">Future: integrate with GC submission portals or email-based submission</t>
  </si>
  <si>
    <t xml:space="preserve">New integration layer</t>
  </si>
  <si>
    <t xml:space="preserve">Long-term</t>
  </si>
  <si>
    <t xml:space="preserve">E-32</t>
  </si>
  <si>
    <t xml:space="preserve">Demo mode inconsistency</t>
  </si>
  <si>
    <t xml:space="preserve">Ensure demo data follows same code paths as production data</t>
  </si>
  <si>
    <t xml:space="preserve">Demo data generation</t>
  </si>
  <si>
    <t xml:space="preserve">E-35</t>
  </si>
  <si>
    <t xml:space="preserve">No bid accuracy drill-down</t>
  </si>
  <si>
    <t xml:space="preserve">Post-award: compare bid line items vs actual costs. Track accuracy by category over time</t>
  </si>
  <si>
    <t xml:space="preserve">Analytics system</t>
  </si>
  <si>
    <t xml:space="preserve">AI-01</t>
  </si>
  <si>
    <t xml:space="preserve">Spec Extraction Endpoint (extract-specifications)</t>
  </si>
  <si>
    <t xml:space="preserve">AI Pipeline</t>
  </si>
  <si>
    <t xml:space="preserve">New endpoint: reads multiple roofing spec PDFs, extracts materials + warranties + installation reqs + testing reqs + submittals. Supports multiple spec sections (07 52 00, 07 22 00, etc.)</t>
  </si>
  <si>
    <t xml:space="preserve">NEW: api/bidshield/extract-specifications/route.ts</t>
  </si>
  <si>
    <t xml:space="preserve">Phase 1A — foundation for everything</t>
  </si>
  <si>
    <t xml:space="preserve">AI-02</t>
  </si>
  <si>
    <t xml:space="preserve">Spec Requirements Database Table</t>
  </si>
  <si>
    <t xml:space="preserve">New Convex table bidshield_spec_requirements: stores extracted spec data by type (material/warranty/installation/testing/submittal). Indexes: by_project, by_project_section, by_project_type. Links to price library via linkedDatasheetId</t>
  </si>
  <si>
    <t xml:space="preserve">NEW: convex/schema.ts, convex/bidshield/specRequirements.ts</t>
  </si>
  <si>
    <t xml:space="preserve">Phase 1C — do first</t>
  </si>
  <si>
    <t xml:space="preserve">AI-03</t>
  </si>
  <si>
    <t xml:space="preserve">Spec Material Dashboard UI</t>
  </si>
  <si>
    <t xml:space="preserve">AI-01, AI-02</t>
  </si>
  <si>
    <t xml:space="preserve">New tab/panel showing all spec-extracted requirements. Columns: material + manufacturer, spec section, coverage rate, current price (from price library), price expiration, quantity (from EDGE), extended cost. Warranty panel. Submittal tracker.</t>
  </si>
  <si>
    <t xml:space="preserve">NEW: SpecDashboardTab.tsx or panel</t>
  </si>
  <si>
    <t xml:space="preserve">Phase 1B — replaces manual spec reading</t>
  </si>
  <si>
    <t xml:space="preserve">AI-04</t>
  </si>
  <si>
    <t xml:space="preserve">Zoning Drawing Area Auto-Populate</t>
  </si>
  <si>
    <t xml:space="preserve">Enhance extract-assemblies prompt to prioritize area schedule pages from zoning drawings. Return areas in assembly objects → auto-fill Setup Tab</t>
  </si>
  <si>
    <t xml:space="preserve">api/bidshield/extract-assemblies/route.ts</t>
  </si>
  <si>
    <t xml:space="preserve">Phase 2A — mostly prompt tuning</t>
  </si>
  <si>
    <t xml:space="preserve">AI-05</t>
  </si>
  <si>
    <t xml:space="preserve">Wizard Post-Creation Auto-Init</t>
  </si>
  <si>
    <t xml:space="preserve">Wizard</t>
  </si>
  <si>
    <t xml:space="preserve">After wizard creates project, auto-initialize: materials (from templates by system type), scope items (from trade template), takeoff sections (per assembly label). Currently requires manual init from each tab.</t>
  </si>
  <si>
    <t xml:space="preserve">app/bidshield/dashboard/page.tsx, convex/bidshield/projects.ts</t>
  </si>
  <si>
    <t xml:space="preserve">Phase 2B</t>
  </si>
  <si>
    <t xml:space="preserve">AI-06</t>
  </si>
  <si>
    <t xml:space="preserve">GC Exhibit A Pricing Checklist</t>
  </si>
  <si>
    <t xml:space="preserve">Enhance extract-gc-form: add 'pricing-line-item' itemType for Exhibit A pricing schedules. Extract line descriptions, units, quantities. Auto-match against project scope and materials. New UI panel for pricing checklist.</t>
  </si>
  <si>
    <t xml:space="preserve">api/bidshield/extract-gc-form/route.ts, GCItemsTab.tsx</t>
  </si>
  <si>
    <t xml:space="preserve">Phase 3A</t>
  </si>
  <si>
    <t xml:space="preserve">AI-07</t>
  </si>
  <si>
    <t xml:space="preserve">EDGE Quantity Comparison Dashboard</t>
  </si>
  <si>
    <t xml:space="preserve">Compare BidShield-calculated quantities vs EDGE report quantities (same materials, different quantities). Flag items where variance &gt; 5%. Dashboard: material | EDGE qty | BidShield qty | variance % | status</t>
  </si>
  <si>
    <t xml:space="preserve">NEW: quantity comparison component</t>
  </si>
  <si>
    <t xml:space="preserve">Phase 4A</t>
  </si>
  <si>
    <t xml:space="preserve">AI-08</t>
  </si>
  <si>
    <t xml:space="preserve">Tab Cross-Communication Wiring</t>
  </si>
  <si>
    <t xml:space="preserve">Architecture</t>
  </si>
  <si>
    <t xml:space="preserve">E-13, E-19</t>
  </si>
  <si>
    <t xml:space="preserve">Wire up all tab data flows: Takeoff→Materials (quantities), Materials→Pricing (costs), Labor→Pricing (hours×rates), Setup→Takeoff (areas), Spec Dashboard→Materials (requirements), Price Library→Materials (pricing)</t>
  </si>
  <si>
    <t xml:space="preserve">Multiple convex mutations + tab components</t>
  </si>
  <si>
    <t xml:space="preserve">Phase 4B — depends on critical fixes</t>
  </si>
  <si>
    <t xml:space="preserve">TOTALS</t>
  </si>
  <si>
    <t xml:space="preserve">SPRINT BREAKDOWN</t>
  </si>
  <si>
    <t xml:space="preserve">Focus</t>
  </si>
  <si>
    <t xml:space="preserve">Key Deliverables</t>
  </si>
  <si>
    <t xml:space="preserve">Est. Hours</t>
  </si>
  <si>
    <t xml:space="preserve">Dependencies</t>
  </si>
  <si>
    <t xml:space="preserve">Go-Live Risk</t>
  </si>
  <si>
    <t xml:space="preserve">Sprint 0
(NOW)</t>
  </si>
  <si>
    <t xml:space="preserve">Security + Already Done</t>
  </si>
  <si>
    <t xml:space="preserve">S1: Rotate exposed secrets
S2: Fix duplicate webhooks
S4: Auth checkout endpoints
C1: 259 tests (DONE)
M1: Module split (DONE)
Assembly wizard fix (DONE)</t>
  </si>
  <si>
    <t xml:space="preserve">5</t>
  </si>
  <si>
    <t xml:space="preserve">ZERO</t>
  </si>
  <si>
    <t xml:space="preserve">Sprint 1
(Week 1-2)</t>
  </si>
  <si>
    <t xml:space="preserve">Foundation + Guardrails</t>
  </si>
  <si>
    <t xml:space="preserve">AI-02: Spec requirements DB table
AI-01: extract-specifications endpoint
AI-04: Zoning area auto-populate
E-26: Submission threshold gate
E-27: Component reconciliation blocking
E-04: Critical phase enforcement
Quick fixes: E-02, E-03, E-05, C5, P5, E-17, E-24</t>
  </si>
  <si>
    <t xml:space="preserve">~52</t>
  </si>
  <si>
    <t xml:space="preserve">LOW
New features only</t>
  </si>
  <si>
    <t xml:space="preserve">Sprint 2
(Week 3-4)</t>
  </si>
  <si>
    <t xml:space="preserve">Tab Sync + Spec Dashboard</t>
  </si>
  <si>
    <t xml:space="preserve">AI-03: Spec Material Dashboard UI
AI-05: Wizard post-creation auto-init
AI-08: Tab cross-communication wiring
E-13: Takeoff → Materials flow (CRITICAL)
E-19: Labor → Pricing sync (CRITICAL)
E-06: Scope → Pricing flow
E-09: Addendum → Pricing link</t>
  </si>
  <si>
    <t xml:space="preserve">~80</t>
  </si>
  <si>
    <t xml:space="preserve">Sprint 1 endpoints</t>
  </si>
  <si>
    <t xml:space="preserve">LOW-MED
New connections</t>
  </si>
  <si>
    <t xml:space="preserve">Sprint 3
(Week 5-6)</t>
  </si>
  <si>
    <t xml:space="preserve">GC Processing + Polish</t>
  </si>
  <si>
    <t xml:space="preserve">AI-06: GC Exhibit A pricing checklist
AI-07: EDGE quantity comparison
E-07: Bulk scope operations
E-10, E-11: Addenda/RFI improvements
E-20, E-30, E-31: Labor/Decision UX
Performance: P2, P3, P4, C3</t>
  </si>
  <si>
    <t xml:space="preserve">~60</t>
  </si>
  <si>
    <t xml:space="preserve">Sprint 2 tab sync</t>
  </si>
  <si>
    <t xml:space="preserve">LOW
Enhancements</t>
  </si>
  <si>
    <t xml:space="preserve">Sprint 4
(Week 7-8)</t>
  </si>
  <si>
    <t xml:space="preserve">Analytics + Export</t>
  </si>
  <si>
    <t xml:space="preserve">E-33: CSV/Excel export
E-34: Full bid package PDF
E-23: Frozen base for change orders
E-35: Bid accuracy drill-down
M4, M5: Config cleanup + docs</t>
  </si>
  <si>
    <t xml:space="preserve">~30</t>
  </si>
  <si>
    <t xml:space="preserve">ZERO
Reporting only</t>
  </si>
  <si>
    <t xml:space="preserve">Future / Low Priority</t>
  </si>
  <si>
    <t xml:space="preserve">E-29: GC portal integration
E-32: Demo mode cleanup
M4: Hardcoded config values
M5: Inline documentation</t>
  </si>
  <si>
    <t xml:space="preserve">~16</t>
  </si>
  <si>
    <t xml:space="preserve">DEPLOYMENT STRATEGY — SAFE UPDATES ON A LIVE SITE</t>
  </si>
  <si>
    <t xml:space="preserve">Vercel (frontend) + Convex (backend) | Auto-deploy from git push</t>
  </si>
  <si>
    <t xml:space="preserve">1. GIT BRANCHING STRATEGY</t>
  </si>
  <si>
    <t xml:space="preserve">Branch</t>
  </si>
  <si>
    <t xml:space="preserve">Purpose</t>
  </si>
  <si>
    <t xml:space="preserve">Deploys To</t>
  </si>
  <si>
    <t xml:space="preserve">Who Pushes</t>
  </si>
  <si>
    <t xml:space="preserve">Auto-Deploy?</t>
  </si>
  <si>
    <t xml:space="preserve">main</t>
  </si>
  <si>
    <t xml:space="preserve">Production code — what users see</t>
  </si>
  <si>
    <t xml:space="preserve">Vercel Production + Convex Production</t>
  </si>
  <si>
    <t xml:space="preserve">Merge PRs only</t>
  </si>
  <si>
    <t xml:space="preserve">YES</t>
  </si>
  <si>
    <t xml:space="preserve">NEVER push directly. Always merge from dev via PR</t>
  </si>
  <si>
    <t xml:space="preserve">dev</t>
  </si>
  <si>
    <t xml:space="preserve">Integration branch — all features merge here first</t>
  </si>
  <si>
    <t xml:space="preserve">Vercel Preview URL</t>
  </si>
  <si>
    <t xml:space="preserve">You</t>
  </si>
  <si>
    <t xml:space="preserve">Test everything here before merging to main</t>
  </si>
  <si>
    <t xml:space="preserve">feature/*</t>
  </si>
  <si>
    <t xml:space="preserve">Individual fixes (feature/fix-e13-takeoff-sync)</t>
  </si>
  <si>
    <t xml:space="preserve">One branch per fix or feature. Branch from dev</t>
  </si>
  <si>
    <t xml:space="preserve">hotfix/*</t>
  </si>
  <si>
    <t xml:space="preserve">Emergency production fixes only</t>
  </si>
  <si>
    <t xml:space="preserve">Vercel Production (fast-track)</t>
  </si>
  <si>
    <t xml:space="preserve">After merge to main</t>
  </si>
  <si>
    <t xml:space="preserve">Branch from main, merge to BOTH main and dev</t>
  </si>
  <si>
    <t xml:space="preserve">2. PRE-DEPLOY CHECKLIST (before every merge to main)</t>
  </si>
  <si>
    <t xml:space="preserve">Step</t>
  </si>
  <si>
    <t xml:space="preserve">Action</t>
  </si>
  <si>
    <t xml:space="preserve">Command / How</t>
  </si>
  <si>
    <t xml:space="preserve">If It Fails</t>
  </si>
  <si>
    <t xml:space="preserve">Required?</t>
  </si>
  <si>
    <t xml:space="preserve">1</t>
  </si>
  <si>
    <t xml:space="preserve">Run all tests</t>
  </si>
  <si>
    <t xml:space="preserve">npm run test</t>
  </si>
  <si>
    <t xml:space="preserve">Fix failing tests before proceeding</t>
  </si>
  <si>
    <t xml:space="preserve">259 tests must pass</t>
  </si>
  <si>
    <t xml:space="preserve">2</t>
  </si>
  <si>
    <t xml:space="preserve">TypeScript type check</t>
  </si>
  <si>
    <t xml:space="preserve">npx tsc --noEmit</t>
  </si>
  <si>
    <t xml:space="preserve">Fix type errors</t>
  </si>
  <si>
    <t xml:space="preserve">Catches null/undefined bugs</t>
  </si>
  <si>
    <t xml:space="preserve">3</t>
  </si>
  <si>
    <t xml:space="preserve">Build locally</t>
  </si>
  <si>
    <t xml:space="preserve">npm run build</t>
  </si>
  <si>
    <t xml:space="preserve">Fix build errors</t>
  </si>
  <si>
    <t xml:space="preserve">Catches import issues</t>
  </si>
  <si>
    <t xml:space="preserve">4</t>
  </si>
  <si>
    <t xml:space="preserve">Test Convex functions</t>
  </si>
  <si>
    <t xml:space="preserve">npx convex dev (check console)</t>
  </si>
  <si>
    <t xml:space="preserve">Fix Convex validation errors</t>
  </si>
  <si>
    <t xml:space="preserve">Catches schema mismatches</t>
  </si>
  <si>
    <t xml:space="preserve">Preview deploy (Vercel)</t>
  </si>
  <si>
    <t xml:space="preserve">Push to dev branch → check preview URL</t>
  </si>
  <si>
    <t xml:space="preserve">Fix in feature branch, re-push</t>
  </si>
  <si>
    <t xml:space="preserve">Vercel auto-creates preview</t>
  </si>
  <si>
    <t xml:space="preserve">6</t>
  </si>
  <si>
    <t xml:space="preserve">Manual smoke test</t>
  </si>
  <si>
    <t xml:space="preserve">Open preview URL, create project, upload PDF, check all tabs</t>
  </si>
  <si>
    <t xml:space="preserve">Fix issues found</t>
  </si>
  <si>
    <t xml:space="preserve">5-min walkthrough of core flow</t>
  </si>
  <si>
    <t xml:space="preserve">7</t>
  </si>
  <si>
    <t xml:space="preserve">Deploy Convex production</t>
  </si>
  <si>
    <t xml:space="preserve">npx convex deploy</t>
  </si>
  <si>
    <t xml:space="preserve">Check error, fix schema/function issues</t>
  </si>
  <si>
    <t xml:space="preserve">BEFORE merging to main if schema changed</t>
  </si>
  <si>
    <t xml:space="preserve">8</t>
  </si>
  <si>
    <t xml:space="preserve">Merge to main</t>
  </si>
  <si>
    <t xml:space="preserve">PR from dev → main on GitHub</t>
  </si>
  <si>
    <t xml:space="preserve">Revert if Vercel deploy fails</t>
  </si>
  <si>
    <t xml:space="preserve">Triggers Vercel production deploy</t>
  </si>
  <si>
    <t xml:space="preserve">9</t>
  </si>
  <si>
    <t xml:space="preserve">Post-deploy verify</t>
  </si>
  <si>
    <t xml:space="preserve">Check production URL, verify core flow works</t>
  </si>
  <si>
    <t xml:space="preserve">Revert: git revert HEAD on main</t>
  </si>
  <si>
    <t xml:space="preserve">2-min smoke test on live site</t>
  </si>
  <si>
    <t xml:space="preserve">3. CONVEX DEPLOYMENT — CRITICAL GOTCHAS</t>
  </si>
  <si>
    <t xml:space="preserve">Scenario</t>
  </si>
  <si>
    <t xml:space="preserve">What Happens</t>
  </si>
  <si>
    <t xml:space="preserve">Safe Approach</t>
  </si>
  <si>
    <t xml:space="preserve">Danger Level</t>
  </si>
  <si>
    <t xml:space="preserve">Adding new table</t>
  </si>
  <si>
    <t xml:space="preserve">No risk — existing data untouched</t>
  </si>
  <si>
    <t xml:space="preserve">Just add to schema.ts and deploy</t>
  </si>
  <si>
    <t xml:space="preserve">SAFE</t>
  </si>
  <si>
    <t xml:space="preserve">Adding new field to existing table</t>
  </si>
  <si>
    <t xml:space="preserve">Old rows won't have the field</t>
  </si>
  <si>
    <t xml:space="preserve">Use v.optional() for new fields. Code must handle undefined</t>
  </si>
  <si>
    <t xml:space="preserve">LOW</t>
  </si>
  <si>
    <t xml:space="preserve">Removing a field from schema</t>
  </si>
  <si>
    <t xml:space="preserve">Existing data still has the field but schema rejects it</t>
  </si>
  <si>
    <t xml:space="preserve">DON'T remove fields — mark as deprecated with v.optional(). Remove data first if needed</t>
  </si>
  <si>
    <t xml:space="preserve">Renaming a table</t>
  </si>
  <si>
    <t xml:space="preserve">Old table deleted, new one empty</t>
  </si>
  <si>
    <t xml:space="preserve">Create new table, migrate data, then remove old table in separate deploy</t>
  </si>
  <si>
    <t xml:space="preserve">Adding a new index</t>
  </si>
  <si>
    <t xml:space="preserve">Index builds in background</t>
  </si>
  <si>
    <t xml:space="preserve">Safe — just deploy. May take a few seconds for large tables</t>
  </si>
  <si>
    <t xml:space="preserve">Changing a field type (e.g., string → number)</t>
  </si>
  <si>
    <t xml:space="preserve">Existing data has old type, new code expects new type</t>
  </si>
  <si>
    <t xml:space="preserve">Add new field with new type, migrate data, remove old field later</t>
  </si>
  <si>
    <t xml:space="preserve">Frontend + Convex schema change together</t>
  </si>
  <si>
    <t xml:space="preserve">If Vercel deploys before Convex, frontend calls fail</t>
  </si>
  <si>
    <t xml:space="preserve">Deploy Convex FIRST (npx convex deploy), THEN merge to main for Vercel</t>
  </si>
  <si>
    <t xml:space="preserve">4. ROLLBACK PROCEDURES — WHEN THINGS GO WRONG</t>
  </si>
  <si>
    <t xml:space="preserve">Problem</t>
  </si>
  <si>
    <t xml:space="preserve">How You'll Know</t>
  </si>
  <si>
    <t xml:space="preserve">Fix</t>
  </si>
  <si>
    <t xml:space="preserve">Time to Fix</t>
  </si>
  <si>
    <t xml:space="preserve">Vercel deploy broke the site</t>
  </si>
  <si>
    <t xml:space="preserve">Preview URL shows error or blank page</t>
  </si>
  <si>
    <t xml:space="preserve">Go to Vercel dashboard → Deployments → click '...' on previous deploy → 'Promote to Production'. Instant rollback.</t>
  </si>
  <si>
    <t xml:space="preserve">30 seconds</t>
  </si>
  <si>
    <t xml:space="preserve">Convex function errors after deploy</t>
  </si>
  <si>
    <t xml:space="preserve">Users see errors, Convex dashboard shows function failures</t>
  </si>
  <si>
    <t xml:space="preserve">Run: npx convex deploy --cmd 'git stash' from the last working commit. Or revert git commit and redeploy.</t>
  </si>
  <si>
    <t xml:space="preserve">2-5 minutes</t>
  </si>
  <si>
    <t xml:space="preserve">Schema migration broke data</t>
  </si>
  <si>
    <t xml:space="preserve">Convex dashboard shows validation errors on existing documents</t>
  </si>
  <si>
    <t xml:space="preserve">Fix schema to be backward-compatible (add v.optional). Never remove fields from live tables.</t>
  </si>
  <si>
    <t xml:space="preserve">5-10 minutes</t>
  </si>
  <si>
    <t xml:space="preserve">Both frontend + backend broken</t>
  </si>
  <si>
    <t xml:space="preserve">Nothing works</t>
  </si>
  <si>
    <t xml:space="preserve">1. Vercel: promote previous deploy. 2. Convex: redeploy from previous commit. 3. Fix in feature branch.</t>
  </si>
  <si>
    <t xml:space="preserve">Stripe webhooks failing</t>
  </si>
  <si>
    <t xml:space="preserve">Stripe dashboard shows failed webhook deliveries</t>
  </si>
  <si>
    <t xml:space="preserve">Check Stripe webhook logs for error details. Fix handler. Stripe auto-retries for up to 72 hours.</t>
  </si>
  <si>
    <t xml:space="preserve">Varies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</si>
</sst>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4"/>
      <color rgb="FF1B2A4A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2E75B6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E2EFDA"/>
      </patternFill>
    </fill>
    <fill>
      <patternFill patternType="solid">
        <fgColor rgb="FFFFE0E0"/>
        <bgColor rgb="FFFFF2CC"/>
      </patternFill>
    </fill>
    <fill>
      <patternFill patternType="solid">
        <fgColor rgb="FF1B2A4A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CCCCCC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BF8F00"/>
      <rgbColor rgb="FFED7D3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1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29.15" hidden="false" customHeight="false" outlineLevel="0" collapsed="false">
      <c r="A4" s="3" t="n">
        <f aca="false">COUNTA('Fix Tracker'!A5:A67)</f>
        <v>63</v>
      </c>
      <c r="B4" s="4" t="n">
        <f aca="false">COUNTIF('Fix Tracker'!E5:E67,"Done")</f>
        <v>2</v>
      </c>
      <c r="C4" s="3" t="n">
        <f aca="false">COUNTIF('Fix Tracker'!E5:E67,"In Progress")</f>
        <v>0</v>
      </c>
      <c r="D4" s="3" t="n">
        <f aca="false">COUNTIF('Fix Tracker'!E5:E67,"Not Started")</f>
        <v>61</v>
      </c>
      <c r="E4" s="5" t="n">
        <f aca="false">COUNTIFS('Fix Tracker'!D5:D67,"CRITICAL",'Fix Tracker'!E5:E67,"&lt;&gt;Done")</f>
        <v>12</v>
      </c>
      <c r="F4" s="3" t="n">
        <f aca="false">SUM('Fix Tracker'!G5:G67)</f>
        <v>264</v>
      </c>
    </row>
    <row r="7" customFormat="false" ht="15" hidden="false" customHeight="false" outlineLevel="0" collapsed="false">
      <c r="A7" s="6" t="s">
        <v>7</v>
      </c>
    </row>
    <row r="8" customFormat="false" ht="15" hidden="false" customHeight="false" outlineLevel="0" collapsed="false">
      <c r="A8" s="7" t="s">
        <v>8</v>
      </c>
      <c r="B8" s="7" t="s">
        <v>9</v>
      </c>
      <c r="C8" s="7" t="s">
        <v>2</v>
      </c>
      <c r="D8" s="7" t="s">
        <v>10</v>
      </c>
      <c r="E8" s="7" t="s">
        <v>11</v>
      </c>
    </row>
    <row r="9" customFormat="false" ht="15" hidden="false" customHeight="false" outlineLevel="0" collapsed="false">
      <c r="A9" s="8" t="s">
        <v>12</v>
      </c>
      <c r="B9" s="9" t="n">
        <f aca="false">COUNTIF('Fix Tracker'!D5:D67,"CRITICAL")</f>
        <v>14</v>
      </c>
      <c r="C9" s="9" t="n">
        <f aca="false">COUNTIFS('Fix Tracker'!D5:D67,"CRITICAL",'Fix Tracker'!E5:E67,"Done")</f>
        <v>2</v>
      </c>
      <c r="D9" s="9" t="n">
        <f aca="false">B9-C9</f>
        <v>12</v>
      </c>
      <c r="E9" s="10" t="n">
        <f aca="false">IF(B9&gt;0,C9/B9,0)</f>
        <v>0.142857142857143</v>
      </c>
    </row>
    <row r="10" customFormat="false" ht="15" hidden="false" customHeight="false" outlineLevel="0" collapsed="false">
      <c r="A10" s="11" t="s">
        <v>13</v>
      </c>
      <c r="B10" s="9" t="n">
        <f aca="false">COUNTIF('Fix Tracker'!D5:D67,"HIGH")</f>
        <v>25</v>
      </c>
      <c r="C10" s="9" t="n">
        <f aca="false">COUNTIFS('Fix Tracker'!D5:D67,"HIGH",'Fix Tracker'!E5:E67,"Done")</f>
        <v>0</v>
      </c>
      <c r="D10" s="9" t="n">
        <f aca="false">B10-C10</f>
        <v>25</v>
      </c>
      <c r="E10" s="10" t="n">
        <f aca="false">IF(B10&gt;0,C10/B10,0)</f>
        <v>0</v>
      </c>
    </row>
    <row r="11" customFormat="false" ht="15" hidden="false" customHeight="false" outlineLevel="0" collapsed="false">
      <c r="A11" s="12" t="s">
        <v>14</v>
      </c>
      <c r="B11" s="9" t="n">
        <f aca="false">COUNTIF('Fix Tracker'!D5:D67,"MEDIUM")</f>
        <v>24</v>
      </c>
      <c r="C11" s="9" t="n">
        <f aca="false">COUNTIFS('Fix Tracker'!D5:D67,"MEDIUM",'Fix Tracker'!E5:E67,"Done")</f>
        <v>0</v>
      </c>
      <c r="D11" s="9" t="n">
        <f aca="false">B11-C11</f>
        <v>24</v>
      </c>
      <c r="E11" s="10" t="n">
        <f aca="false">IF(B11&gt;0,C11/B11,0)</f>
        <v>0</v>
      </c>
    </row>
    <row r="14" customFormat="false" ht="15" hidden="false" customHeight="false" outlineLevel="0" collapsed="false">
      <c r="A14" s="6" t="s">
        <v>15</v>
      </c>
    </row>
    <row r="15" customFormat="false" ht="15" hidden="false" customHeight="false" outlineLevel="0" collapsed="false">
      <c r="A15" s="7" t="s">
        <v>16</v>
      </c>
      <c r="B15" s="7" t="s">
        <v>17</v>
      </c>
      <c r="C15" s="7" t="s">
        <v>2</v>
      </c>
      <c r="D15" s="7" t="s">
        <v>18</v>
      </c>
      <c r="E15" s="7" t="s">
        <v>11</v>
      </c>
    </row>
    <row r="16" customFormat="false" ht="15" hidden="false" customHeight="false" outlineLevel="0" collapsed="false">
      <c r="A16" s="13" t="s">
        <v>19</v>
      </c>
      <c r="B16" s="14" t="n">
        <f aca="false">COUNTIF('Fix Tracker'!F5:F67,"Sprint 0 (Now)")</f>
        <v>5</v>
      </c>
      <c r="C16" s="14" t="n">
        <f aca="false">COUNTIFS('Fix Tracker'!F5:F67,"Sprint 0 (Now)",'Fix Tracker'!E5:E67,"Done")</f>
        <v>2</v>
      </c>
      <c r="D16" s="14" t="n">
        <f aca="false">SUMIF('Fix Tracker'!F5:F67,"Sprint 0 (Now)",'Fix Tracker'!G5:G67)</f>
        <v>5</v>
      </c>
      <c r="E16" s="15" t="n">
        <f aca="false">IF(B16&gt;0,C16/B16,0)</f>
        <v>0.4</v>
      </c>
    </row>
    <row r="17" customFormat="false" ht="15" hidden="false" customHeight="false" outlineLevel="0" collapsed="false">
      <c r="A17" s="13" t="s">
        <v>20</v>
      </c>
      <c r="B17" s="14" t="n">
        <f aca="false">COUNTIF('Fix Tracker'!F5:F67,"Sprint 1")</f>
        <v>19</v>
      </c>
      <c r="C17" s="14" t="n">
        <f aca="false">COUNTIFS('Fix Tracker'!F5:F67,"Sprint 1",'Fix Tracker'!E5:E67,"Done")</f>
        <v>0</v>
      </c>
      <c r="D17" s="14" t="n">
        <f aca="false">SUMIF('Fix Tracker'!F5:F67,"Sprint 1",'Fix Tracker'!G5:G67)</f>
        <v>69</v>
      </c>
      <c r="E17" s="15" t="n">
        <f aca="false">IF(B17&gt;0,C17/B17,0)</f>
        <v>0</v>
      </c>
    </row>
    <row r="18" customFormat="false" ht="15" hidden="false" customHeight="false" outlineLevel="0" collapsed="false">
      <c r="A18" s="13" t="s">
        <v>21</v>
      </c>
      <c r="B18" s="14" t="n">
        <f aca="false">COUNTIF('Fix Tracker'!F5:F67,"Sprint 2")</f>
        <v>13</v>
      </c>
      <c r="C18" s="14" t="n">
        <f aca="false">COUNTIFS('Fix Tracker'!F5:F67,"Sprint 2",'Fix Tracker'!E5:E67,"Done")</f>
        <v>0</v>
      </c>
      <c r="D18" s="14" t="n">
        <f aca="false">SUMIF('Fix Tracker'!F5:F67,"Sprint 2",'Fix Tracker'!G5:G67)</f>
        <v>93</v>
      </c>
      <c r="E18" s="15" t="n">
        <f aca="false">IF(B18&gt;0,C18/B18,0)</f>
        <v>0</v>
      </c>
    </row>
    <row r="19" customFormat="false" ht="15" hidden="false" customHeight="false" outlineLevel="0" collapsed="false">
      <c r="A19" s="13" t="s">
        <v>22</v>
      </c>
      <c r="B19" s="14" t="n">
        <f aca="false">COUNTIF('Fix Tracker'!F5:F67,"Sprint 3")</f>
        <v>18</v>
      </c>
      <c r="C19" s="14" t="n">
        <f aca="false">COUNTIFS('Fix Tracker'!F5:F67,"Sprint 3",'Fix Tracker'!E5:E67,"Done")</f>
        <v>0</v>
      </c>
      <c r="D19" s="14" t="n">
        <f aca="false">SUMIF('Fix Tracker'!F5:F67,"Sprint 3",'Fix Tracker'!G5:G67)</f>
        <v>65</v>
      </c>
      <c r="E19" s="15" t="n">
        <f aca="false">IF(B19&gt;0,C19/B19,0)</f>
        <v>0</v>
      </c>
    </row>
    <row r="20" customFormat="false" ht="15" hidden="false" customHeight="false" outlineLevel="0" collapsed="false">
      <c r="A20" s="13" t="s">
        <v>23</v>
      </c>
      <c r="B20" s="14" t="n">
        <f aca="false">COUNTIF('Fix Tracker'!F5:F67,"Sprint 4")</f>
        <v>4</v>
      </c>
      <c r="C20" s="14" t="n">
        <f aca="false">COUNTIFS('Fix Tracker'!F5:F67,"Sprint 4",'Fix Tracker'!E5:E67,"Done")</f>
        <v>0</v>
      </c>
      <c r="D20" s="14" t="n">
        <f aca="false">SUMIF('Fix Tracker'!F5:F67,"Sprint 4",'Fix Tracker'!G5:G67)</f>
        <v>16</v>
      </c>
      <c r="E20" s="15" t="n">
        <f aca="false">IF(B20&gt;0,C20/B20,0)</f>
        <v>0</v>
      </c>
    </row>
    <row r="21" customFormat="false" ht="15" hidden="false" customHeight="false" outlineLevel="0" collapsed="false">
      <c r="A21" s="13" t="s">
        <v>24</v>
      </c>
      <c r="B21" s="14" t="n">
        <f aca="false">COUNTIF('Fix Tracker'!F5:F67,"Backlog")</f>
        <v>4</v>
      </c>
      <c r="C21" s="14" t="n">
        <f aca="false">COUNTIFS('Fix Tracker'!F5:F67,"Backlog",'Fix Tracker'!E5:E67,"Done")</f>
        <v>0</v>
      </c>
      <c r="D21" s="14" t="n">
        <f aca="false">SUMIF('Fix Tracker'!F5:F67,"Backlog",'Fix Tracker'!G5:G67)</f>
        <v>16</v>
      </c>
      <c r="E21" s="15" t="n">
        <f aca="false">IF(B21&gt;0,C21/B21,0)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K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45"/>
    <col collapsed="false" customWidth="true" hidden="false" outlineLevel="0" max="10" min="10" style="0" width="35"/>
    <col collapsed="false" customWidth="true" hidden="false" outlineLevel="0" max="11" min="11" style="0" width="30"/>
  </cols>
  <sheetData>
    <row r="1" customFormat="false" ht="30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17" t="s">
        <v>26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26.85" hidden="false" customHeight="false" outlineLevel="0" collapsed="false">
      <c r="A4" s="7" t="s">
        <v>27</v>
      </c>
      <c r="B4" s="7" t="s">
        <v>28</v>
      </c>
      <c r="C4" s="7" t="s">
        <v>29</v>
      </c>
      <c r="D4" s="7" t="s">
        <v>8</v>
      </c>
      <c r="E4" s="7" t="s">
        <v>30</v>
      </c>
      <c r="F4" s="7" t="s">
        <v>16</v>
      </c>
      <c r="G4" s="7" t="s">
        <v>31</v>
      </c>
      <c r="H4" s="7" t="s">
        <v>32</v>
      </c>
      <c r="I4" s="7" t="s">
        <v>33</v>
      </c>
      <c r="J4" s="7" t="s">
        <v>34</v>
      </c>
      <c r="K4" s="7" t="s">
        <v>35</v>
      </c>
    </row>
    <row r="5" customFormat="false" ht="35.05" hidden="false" customHeight="false" outlineLevel="0" collapsed="false">
      <c r="A5" s="18" t="s">
        <v>36</v>
      </c>
      <c r="B5" s="18" t="s">
        <v>37</v>
      </c>
      <c r="C5" s="18" t="s">
        <v>38</v>
      </c>
      <c r="D5" s="19" t="s">
        <v>12</v>
      </c>
      <c r="E5" s="9" t="s">
        <v>4</v>
      </c>
      <c r="F5" s="18" t="s">
        <v>19</v>
      </c>
      <c r="G5" s="9" t="n">
        <v>1</v>
      </c>
      <c r="H5" s="18" t="s">
        <v>39</v>
      </c>
      <c r="I5" s="18" t="s">
        <v>40</v>
      </c>
      <c r="J5" s="18" t="s">
        <v>41</v>
      </c>
      <c r="K5" s="18" t="s">
        <v>42</v>
      </c>
    </row>
    <row r="6" customFormat="false" ht="35.05" hidden="false" customHeight="false" outlineLevel="0" collapsed="false">
      <c r="A6" s="20" t="s">
        <v>43</v>
      </c>
      <c r="B6" s="20" t="s">
        <v>44</v>
      </c>
      <c r="C6" s="20" t="s">
        <v>38</v>
      </c>
      <c r="D6" s="19" t="s">
        <v>12</v>
      </c>
      <c r="E6" s="21" t="s">
        <v>4</v>
      </c>
      <c r="F6" s="20" t="s">
        <v>19</v>
      </c>
      <c r="G6" s="21" t="n">
        <v>2</v>
      </c>
      <c r="H6" s="20" t="s">
        <v>39</v>
      </c>
      <c r="I6" s="20" t="s">
        <v>45</v>
      </c>
      <c r="J6" s="20" t="s">
        <v>46</v>
      </c>
      <c r="K6" s="20" t="s">
        <v>47</v>
      </c>
    </row>
    <row r="7" customFormat="false" ht="46.25" hidden="false" customHeight="false" outlineLevel="0" collapsed="false">
      <c r="A7" s="18" t="s">
        <v>48</v>
      </c>
      <c r="B7" s="18" t="s">
        <v>49</v>
      </c>
      <c r="C7" s="18" t="s">
        <v>50</v>
      </c>
      <c r="D7" s="19" t="s">
        <v>12</v>
      </c>
      <c r="E7" s="22" t="s">
        <v>2</v>
      </c>
      <c r="F7" s="18" t="s">
        <v>19</v>
      </c>
      <c r="G7" s="9" t="n">
        <v>0</v>
      </c>
      <c r="H7" s="18" t="s">
        <v>39</v>
      </c>
      <c r="I7" s="18" t="s">
        <v>51</v>
      </c>
      <c r="J7" s="18" t="s">
        <v>52</v>
      </c>
      <c r="K7" s="18" t="s">
        <v>53</v>
      </c>
    </row>
    <row r="8" customFormat="false" ht="35.05" hidden="false" customHeight="false" outlineLevel="0" collapsed="false">
      <c r="A8" s="20" t="s">
        <v>54</v>
      </c>
      <c r="B8" s="20" t="s">
        <v>55</v>
      </c>
      <c r="C8" s="20" t="s">
        <v>56</v>
      </c>
      <c r="D8" s="19" t="s">
        <v>12</v>
      </c>
      <c r="E8" s="22" t="s">
        <v>2</v>
      </c>
      <c r="F8" s="20" t="s">
        <v>19</v>
      </c>
      <c r="G8" s="21" t="n">
        <v>0</v>
      </c>
      <c r="H8" s="20" t="s">
        <v>39</v>
      </c>
      <c r="I8" s="20" t="s">
        <v>57</v>
      </c>
      <c r="J8" s="20" t="s">
        <v>58</v>
      </c>
      <c r="K8" s="20" t="s">
        <v>59</v>
      </c>
    </row>
    <row r="9" customFormat="false" ht="35.05" hidden="false" customHeight="false" outlineLevel="0" collapsed="false">
      <c r="A9" s="18" t="s">
        <v>60</v>
      </c>
      <c r="B9" s="18" t="s">
        <v>61</v>
      </c>
      <c r="C9" s="18" t="s">
        <v>62</v>
      </c>
      <c r="D9" s="19" t="s">
        <v>12</v>
      </c>
      <c r="E9" s="9" t="s">
        <v>4</v>
      </c>
      <c r="F9" s="18" t="s">
        <v>20</v>
      </c>
      <c r="G9" s="9" t="n">
        <v>4</v>
      </c>
      <c r="H9" s="18" t="s">
        <v>63</v>
      </c>
      <c r="I9" s="18" t="s">
        <v>64</v>
      </c>
      <c r="J9" s="18" t="s">
        <v>65</v>
      </c>
      <c r="K9" s="18"/>
    </row>
    <row r="10" customFormat="false" ht="35.05" hidden="false" customHeight="false" outlineLevel="0" collapsed="false">
      <c r="A10" s="20" t="s">
        <v>66</v>
      </c>
      <c r="B10" s="20" t="s">
        <v>67</v>
      </c>
      <c r="C10" s="20" t="s">
        <v>68</v>
      </c>
      <c r="D10" s="19" t="s">
        <v>12</v>
      </c>
      <c r="E10" s="21" t="s">
        <v>4</v>
      </c>
      <c r="F10" s="20" t="s">
        <v>21</v>
      </c>
      <c r="G10" s="21" t="n">
        <v>8</v>
      </c>
      <c r="H10" s="20" t="s">
        <v>39</v>
      </c>
      <c r="I10" s="20" t="s">
        <v>69</v>
      </c>
      <c r="J10" s="20" t="s">
        <v>70</v>
      </c>
      <c r="K10" s="20" t="s">
        <v>71</v>
      </c>
    </row>
    <row r="11" customFormat="false" ht="35.05" hidden="false" customHeight="false" outlineLevel="0" collapsed="false">
      <c r="A11" s="18" t="s">
        <v>72</v>
      </c>
      <c r="B11" s="18" t="s">
        <v>73</v>
      </c>
      <c r="C11" s="18" t="s">
        <v>74</v>
      </c>
      <c r="D11" s="19" t="s">
        <v>12</v>
      </c>
      <c r="E11" s="9" t="s">
        <v>4</v>
      </c>
      <c r="F11" s="18" t="s">
        <v>21</v>
      </c>
      <c r="G11" s="9" t="n">
        <v>6</v>
      </c>
      <c r="H11" s="18" t="s">
        <v>66</v>
      </c>
      <c r="I11" s="18" t="s">
        <v>75</v>
      </c>
      <c r="J11" s="18" t="s">
        <v>76</v>
      </c>
      <c r="K11" s="18"/>
    </row>
    <row r="12" customFormat="false" ht="35.05" hidden="false" customHeight="false" outlineLevel="0" collapsed="false">
      <c r="A12" s="20" t="s">
        <v>77</v>
      </c>
      <c r="B12" s="20" t="s">
        <v>78</v>
      </c>
      <c r="C12" s="20" t="s">
        <v>79</v>
      </c>
      <c r="D12" s="19" t="s">
        <v>12</v>
      </c>
      <c r="E12" s="21" t="s">
        <v>4</v>
      </c>
      <c r="F12" s="20" t="s">
        <v>21</v>
      </c>
      <c r="G12" s="21" t="n">
        <v>8</v>
      </c>
      <c r="H12" s="20" t="s">
        <v>39</v>
      </c>
      <c r="I12" s="20" t="s">
        <v>80</v>
      </c>
      <c r="J12" s="20" t="s">
        <v>81</v>
      </c>
      <c r="K12" s="20" t="s">
        <v>82</v>
      </c>
    </row>
    <row r="13" customFormat="false" ht="35.05" hidden="false" customHeight="false" outlineLevel="0" collapsed="false">
      <c r="A13" s="18" t="s">
        <v>83</v>
      </c>
      <c r="B13" s="18" t="s">
        <v>84</v>
      </c>
      <c r="C13" s="18" t="s">
        <v>85</v>
      </c>
      <c r="D13" s="19" t="s">
        <v>12</v>
      </c>
      <c r="E13" s="9" t="s">
        <v>4</v>
      </c>
      <c r="F13" s="18" t="s">
        <v>21</v>
      </c>
      <c r="G13" s="9" t="n">
        <v>4</v>
      </c>
      <c r="H13" s="18" t="s">
        <v>39</v>
      </c>
      <c r="I13" s="18" t="s">
        <v>86</v>
      </c>
      <c r="J13" s="18" t="s">
        <v>87</v>
      </c>
      <c r="K13" s="18" t="s">
        <v>88</v>
      </c>
    </row>
    <row r="14" customFormat="false" ht="35.05" hidden="false" customHeight="false" outlineLevel="0" collapsed="false">
      <c r="A14" s="20" t="s">
        <v>63</v>
      </c>
      <c r="B14" s="20" t="s">
        <v>89</v>
      </c>
      <c r="C14" s="20" t="s">
        <v>90</v>
      </c>
      <c r="D14" s="19" t="s">
        <v>12</v>
      </c>
      <c r="E14" s="21" t="s">
        <v>4</v>
      </c>
      <c r="F14" s="20" t="s">
        <v>20</v>
      </c>
      <c r="G14" s="21" t="n">
        <v>4</v>
      </c>
      <c r="H14" s="20" t="s">
        <v>39</v>
      </c>
      <c r="I14" s="20" t="s">
        <v>91</v>
      </c>
      <c r="J14" s="20" t="s">
        <v>92</v>
      </c>
      <c r="K14" s="20"/>
    </row>
    <row r="15" customFormat="false" ht="35.05" hidden="false" customHeight="false" outlineLevel="0" collapsed="false">
      <c r="A15" s="18" t="s">
        <v>93</v>
      </c>
      <c r="B15" s="18" t="s">
        <v>94</v>
      </c>
      <c r="C15" s="18" t="s">
        <v>90</v>
      </c>
      <c r="D15" s="19" t="s">
        <v>12</v>
      </c>
      <c r="E15" s="9" t="s">
        <v>4</v>
      </c>
      <c r="F15" s="18" t="s">
        <v>20</v>
      </c>
      <c r="G15" s="9" t="n">
        <v>6</v>
      </c>
      <c r="H15" s="18" t="s">
        <v>63</v>
      </c>
      <c r="I15" s="18" t="s">
        <v>95</v>
      </c>
      <c r="J15" s="18" t="s">
        <v>96</v>
      </c>
      <c r="K15" s="18"/>
    </row>
    <row r="16" customFormat="false" ht="23.85" hidden="false" customHeight="false" outlineLevel="0" collapsed="false">
      <c r="A16" s="20" t="s">
        <v>97</v>
      </c>
      <c r="B16" s="20" t="s">
        <v>98</v>
      </c>
      <c r="C16" s="20" t="s">
        <v>38</v>
      </c>
      <c r="D16" s="23" t="s">
        <v>13</v>
      </c>
      <c r="E16" s="21" t="s">
        <v>4</v>
      </c>
      <c r="F16" s="20" t="s">
        <v>20</v>
      </c>
      <c r="G16" s="21" t="n">
        <v>3</v>
      </c>
      <c r="H16" s="20" t="s">
        <v>39</v>
      </c>
      <c r="I16" s="20" t="s">
        <v>99</v>
      </c>
      <c r="J16" s="20" t="s">
        <v>100</v>
      </c>
      <c r="K16" s="20"/>
    </row>
    <row r="17" customFormat="false" ht="23.85" hidden="false" customHeight="false" outlineLevel="0" collapsed="false">
      <c r="A17" s="18" t="s">
        <v>101</v>
      </c>
      <c r="B17" s="18" t="s">
        <v>102</v>
      </c>
      <c r="C17" s="18" t="s">
        <v>38</v>
      </c>
      <c r="D17" s="23" t="s">
        <v>13</v>
      </c>
      <c r="E17" s="9" t="s">
        <v>4</v>
      </c>
      <c r="F17" s="18" t="s">
        <v>19</v>
      </c>
      <c r="G17" s="9" t="n">
        <v>2</v>
      </c>
      <c r="H17" s="18" t="s">
        <v>39</v>
      </c>
      <c r="I17" s="18" t="s">
        <v>103</v>
      </c>
      <c r="J17" s="18" t="s">
        <v>104</v>
      </c>
      <c r="K17" s="18" t="s">
        <v>105</v>
      </c>
    </row>
    <row r="18" customFormat="false" ht="23.85" hidden="false" customHeight="false" outlineLevel="0" collapsed="false">
      <c r="A18" s="20" t="s">
        <v>106</v>
      </c>
      <c r="B18" s="20" t="s">
        <v>107</v>
      </c>
      <c r="C18" s="20" t="s">
        <v>38</v>
      </c>
      <c r="D18" s="23" t="s">
        <v>13</v>
      </c>
      <c r="E18" s="21" t="s">
        <v>4</v>
      </c>
      <c r="F18" s="20" t="s">
        <v>20</v>
      </c>
      <c r="G18" s="21" t="n">
        <v>4</v>
      </c>
      <c r="H18" s="20" t="s">
        <v>39</v>
      </c>
      <c r="I18" s="20" t="s">
        <v>108</v>
      </c>
      <c r="J18" s="20" t="s">
        <v>109</v>
      </c>
      <c r="K18" s="20"/>
    </row>
    <row r="19" customFormat="false" ht="23.85" hidden="false" customHeight="false" outlineLevel="0" collapsed="false">
      <c r="A19" s="18" t="s">
        <v>110</v>
      </c>
      <c r="B19" s="18" t="s">
        <v>111</v>
      </c>
      <c r="C19" s="18" t="s">
        <v>112</v>
      </c>
      <c r="D19" s="23" t="s">
        <v>13</v>
      </c>
      <c r="E19" s="9" t="s">
        <v>4</v>
      </c>
      <c r="F19" s="18" t="s">
        <v>20</v>
      </c>
      <c r="G19" s="9" t="n">
        <v>2</v>
      </c>
      <c r="H19" s="18" t="s">
        <v>54</v>
      </c>
      <c r="I19" s="18" t="s">
        <v>113</v>
      </c>
      <c r="J19" s="18" t="s">
        <v>114</v>
      </c>
      <c r="K19" s="18" t="s">
        <v>115</v>
      </c>
    </row>
    <row r="20" customFormat="false" ht="23.85" hidden="false" customHeight="false" outlineLevel="0" collapsed="false">
      <c r="A20" s="20" t="s">
        <v>116</v>
      </c>
      <c r="B20" s="20" t="s">
        <v>117</v>
      </c>
      <c r="C20" s="20" t="s">
        <v>118</v>
      </c>
      <c r="D20" s="23" t="s">
        <v>13</v>
      </c>
      <c r="E20" s="21" t="s">
        <v>4</v>
      </c>
      <c r="F20" s="20" t="s">
        <v>20</v>
      </c>
      <c r="G20" s="21" t="n">
        <v>3</v>
      </c>
      <c r="H20" s="20" t="s">
        <v>39</v>
      </c>
      <c r="I20" s="20" t="s">
        <v>119</v>
      </c>
      <c r="J20" s="20" t="s">
        <v>120</v>
      </c>
      <c r="K20" s="20" t="s">
        <v>121</v>
      </c>
    </row>
    <row r="21" customFormat="false" ht="23.85" hidden="false" customHeight="false" outlineLevel="0" collapsed="false">
      <c r="A21" s="18" t="s">
        <v>122</v>
      </c>
      <c r="B21" s="18" t="s">
        <v>123</v>
      </c>
      <c r="C21" s="18" t="s">
        <v>124</v>
      </c>
      <c r="D21" s="23" t="s">
        <v>13</v>
      </c>
      <c r="E21" s="9" t="s">
        <v>4</v>
      </c>
      <c r="F21" s="18" t="s">
        <v>20</v>
      </c>
      <c r="G21" s="9" t="n">
        <v>2</v>
      </c>
      <c r="H21" s="18" t="s">
        <v>39</v>
      </c>
      <c r="I21" s="18" t="s">
        <v>125</v>
      </c>
      <c r="J21" s="18" t="s">
        <v>126</v>
      </c>
      <c r="K21" s="18"/>
    </row>
    <row r="22" customFormat="false" ht="23.85" hidden="false" customHeight="false" outlineLevel="0" collapsed="false">
      <c r="A22" s="20" t="s">
        <v>127</v>
      </c>
      <c r="B22" s="20" t="s">
        <v>128</v>
      </c>
      <c r="C22" s="20" t="s">
        <v>68</v>
      </c>
      <c r="D22" s="23" t="s">
        <v>13</v>
      </c>
      <c r="E22" s="21" t="s">
        <v>4</v>
      </c>
      <c r="F22" s="20" t="s">
        <v>22</v>
      </c>
      <c r="G22" s="21" t="n">
        <v>3</v>
      </c>
      <c r="H22" s="20" t="s">
        <v>39</v>
      </c>
      <c r="I22" s="20" t="s">
        <v>129</v>
      </c>
      <c r="J22" s="20" t="s">
        <v>130</v>
      </c>
      <c r="K22" s="20"/>
    </row>
    <row r="23" customFormat="false" ht="23.85" hidden="false" customHeight="false" outlineLevel="0" collapsed="false">
      <c r="A23" s="18" t="s">
        <v>131</v>
      </c>
      <c r="B23" s="18" t="s">
        <v>132</v>
      </c>
      <c r="C23" s="18" t="s">
        <v>74</v>
      </c>
      <c r="D23" s="23" t="s">
        <v>13</v>
      </c>
      <c r="E23" s="9" t="s">
        <v>4</v>
      </c>
      <c r="F23" s="18" t="s">
        <v>22</v>
      </c>
      <c r="G23" s="9" t="n">
        <v>2</v>
      </c>
      <c r="H23" s="18" t="s">
        <v>72</v>
      </c>
      <c r="I23" s="18" t="s">
        <v>133</v>
      </c>
      <c r="J23" s="18" t="s">
        <v>134</v>
      </c>
      <c r="K23" s="18" t="s">
        <v>135</v>
      </c>
    </row>
    <row r="24" customFormat="false" ht="23.85" hidden="false" customHeight="false" outlineLevel="0" collapsed="false">
      <c r="A24" s="20" t="s">
        <v>136</v>
      </c>
      <c r="B24" s="20" t="s">
        <v>137</v>
      </c>
      <c r="C24" s="20" t="s">
        <v>138</v>
      </c>
      <c r="D24" s="23" t="s">
        <v>13</v>
      </c>
      <c r="E24" s="21" t="s">
        <v>4</v>
      </c>
      <c r="F24" s="20" t="s">
        <v>22</v>
      </c>
      <c r="G24" s="21" t="n">
        <v>3</v>
      </c>
      <c r="H24" s="20" t="s">
        <v>39</v>
      </c>
      <c r="I24" s="20" t="s">
        <v>139</v>
      </c>
      <c r="J24" s="20" t="s">
        <v>140</v>
      </c>
      <c r="K24" s="20"/>
    </row>
    <row r="25" customFormat="false" ht="23.85" hidden="false" customHeight="false" outlineLevel="0" collapsed="false">
      <c r="A25" s="18" t="s">
        <v>141</v>
      </c>
      <c r="B25" s="18" t="s">
        <v>142</v>
      </c>
      <c r="C25" s="18" t="s">
        <v>79</v>
      </c>
      <c r="D25" s="23" t="s">
        <v>13</v>
      </c>
      <c r="E25" s="9" t="s">
        <v>4</v>
      </c>
      <c r="F25" s="18" t="s">
        <v>21</v>
      </c>
      <c r="G25" s="9" t="n">
        <v>2</v>
      </c>
      <c r="H25" s="18" t="s">
        <v>77</v>
      </c>
      <c r="I25" s="18" t="s">
        <v>143</v>
      </c>
      <c r="J25" s="18" t="s">
        <v>144</v>
      </c>
      <c r="K25" s="18"/>
    </row>
    <row r="26" customFormat="false" ht="35.05" hidden="false" customHeight="false" outlineLevel="0" collapsed="false">
      <c r="A26" s="20" t="s">
        <v>145</v>
      </c>
      <c r="B26" s="20" t="s">
        <v>146</v>
      </c>
      <c r="C26" s="20" t="s">
        <v>147</v>
      </c>
      <c r="D26" s="23" t="s">
        <v>13</v>
      </c>
      <c r="E26" s="21" t="s">
        <v>4</v>
      </c>
      <c r="F26" s="20" t="s">
        <v>21</v>
      </c>
      <c r="G26" s="21" t="n">
        <v>4</v>
      </c>
      <c r="H26" s="20" t="s">
        <v>39</v>
      </c>
      <c r="I26" s="20" t="s">
        <v>148</v>
      </c>
      <c r="J26" s="20" t="s">
        <v>149</v>
      </c>
      <c r="K26" s="20" t="s">
        <v>150</v>
      </c>
    </row>
    <row r="27" customFormat="false" ht="23.85" hidden="false" customHeight="false" outlineLevel="0" collapsed="false">
      <c r="A27" s="18" t="s">
        <v>151</v>
      </c>
      <c r="B27" s="18" t="s">
        <v>152</v>
      </c>
      <c r="C27" s="18" t="s">
        <v>147</v>
      </c>
      <c r="D27" s="23" t="s">
        <v>13</v>
      </c>
      <c r="E27" s="9" t="s">
        <v>4</v>
      </c>
      <c r="F27" s="18" t="s">
        <v>20</v>
      </c>
      <c r="G27" s="9" t="n">
        <v>2</v>
      </c>
      <c r="H27" s="18" t="s">
        <v>39</v>
      </c>
      <c r="I27" s="18" t="s">
        <v>153</v>
      </c>
      <c r="J27" s="18" t="s">
        <v>154</v>
      </c>
      <c r="K27" s="18"/>
    </row>
    <row r="28" customFormat="false" ht="23.85" hidden="false" customHeight="false" outlineLevel="0" collapsed="false">
      <c r="A28" s="20" t="s">
        <v>155</v>
      </c>
      <c r="B28" s="20" t="s">
        <v>156</v>
      </c>
      <c r="C28" s="20" t="s">
        <v>85</v>
      </c>
      <c r="D28" s="23" t="s">
        <v>13</v>
      </c>
      <c r="E28" s="21" t="s">
        <v>4</v>
      </c>
      <c r="F28" s="20" t="s">
        <v>22</v>
      </c>
      <c r="G28" s="21" t="n">
        <v>4</v>
      </c>
      <c r="H28" s="20" t="s">
        <v>39</v>
      </c>
      <c r="I28" s="20" t="s">
        <v>157</v>
      </c>
      <c r="J28" s="20" t="s">
        <v>158</v>
      </c>
      <c r="K28" s="20"/>
    </row>
    <row r="29" customFormat="false" ht="23.85" hidden="false" customHeight="false" outlineLevel="0" collapsed="false">
      <c r="A29" s="18" t="s">
        <v>159</v>
      </c>
      <c r="B29" s="18" t="s">
        <v>160</v>
      </c>
      <c r="C29" s="18" t="s">
        <v>85</v>
      </c>
      <c r="D29" s="23" t="s">
        <v>13</v>
      </c>
      <c r="E29" s="9" t="s">
        <v>4</v>
      </c>
      <c r="F29" s="18" t="s">
        <v>21</v>
      </c>
      <c r="G29" s="9" t="n">
        <v>2</v>
      </c>
      <c r="H29" s="18" t="s">
        <v>63</v>
      </c>
      <c r="I29" s="18" t="s">
        <v>161</v>
      </c>
      <c r="J29" s="18" t="s">
        <v>162</v>
      </c>
      <c r="K29" s="18"/>
    </row>
    <row r="30" customFormat="false" ht="23.85" hidden="false" customHeight="false" outlineLevel="0" collapsed="false">
      <c r="A30" s="20" t="s">
        <v>163</v>
      </c>
      <c r="B30" s="20" t="s">
        <v>164</v>
      </c>
      <c r="C30" s="20" t="s">
        <v>165</v>
      </c>
      <c r="D30" s="23" t="s">
        <v>13</v>
      </c>
      <c r="E30" s="21" t="s">
        <v>4</v>
      </c>
      <c r="F30" s="20" t="s">
        <v>20</v>
      </c>
      <c r="G30" s="21" t="n">
        <v>2</v>
      </c>
      <c r="H30" s="20" t="s">
        <v>39</v>
      </c>
      <c r="I30" s="20" t="s">
        <v>166</v>
      </c>
      <c r="J30" s="20" t="s">
        <v>167</v>
      </c>
      <c r="K30" s="20"/>
    </row>
    <row r="31" customFormat="false" ht="23.85" hidden="false" customHeight="false" outlineLevel="0" collapsed="false">
      <c r="A31" s="18" t="s">
        <v>168</v>
      </c>
      <c r="B31" s="18" t="s">
        <v>169</v>
      </c>
      <c r="C31" s="18" t="s">
        <v>90</v>
      </c>
      <c r="D31" s="23" t="s">
        <v>13</v>
      </c>
      <c r="E31" s="9" t="s">
        <v>4</v>
      </c>
      <c r="F31" s="18" t="s">
        <v>21</v>
      </c>
      <c r="G31" s="9" t="n">
        <v>3</v>
      </c>
      <c r="H31" s="18" t="s">
        <v>63</v>
      </c>
      <c r="I31" s="18" t="s">
        <v>170</v>
      </c>
      <c r="J31" s="18" t="s">
        <v>171</v>
      </c>
      <c r="K31" s="18"/>
    </row>
    <row r="32" customFormat="false" ht="23.85" hidden="false" customHeight="false" outlineLevel="0" collapsed="false">
      <c r="A32" s="20" t="s">
        <v>172</v>
      </c>
      <c r="B32" s="20" t="s">
        <v>173</v>
      </c>
      <c r="C32" s="20" t="s">
        <v>174</v>
      </c>
      <c r="D32" s="23" t="s">
        <v>13</v>
      </c>
      <c r="E32" s="21" t="s">
        <v>4</v>
      </c>
      <c r="F32" s="20" t="s">
        <v>22</v>
      </c>
      <c r="G32" s="21" t="n">
        <v>3</v>
      </c>
      <c r="H32" s="20" t="s">
        <v>39</v>
      </c>
      <c r="I32" s="20" t="s">
        <v>175</v>
      </c>
      <c r="J32" s="20" t="s">
        <v>176</v>
      </c>
      <c r="K32" s="20"/>
    </row>
    <row r="33" customFormat="false" ht="23.85" hidden="false" customHeight="false" outlineLevel="0" collapsed="false">
      <c r="A33" s="18" t="s">
        <v>177</v>
      </c>
      <c r="B33" s="18" t="s">
        <v>178</v>
      </c>
      <c r="C33" s="18" t="s">
        <v>174</v>
      </c>
      <c r="D33" s="23" t="s">
        <v>13</v>
      </c>
      <c r="E33" s="9" t="s">
        <v>4</v>
      </c>
      <c r="F33" s="18" t="s">
        <v>22</v>
      </c>
      <c r="G33" s="9" t="n">
        <v>4</v>
      </c>
      <c r="H33" s="18" t="s">
        <v>39</v>
      </c>
      <c r="I33" s="18" t="s">
        <v>179</v>
      </c>
      <c r="J33" s="18" t="s">
        <v>180</v>
      </c>
      <c r="K33" s="18"/>
    </row>
    <row r="34" customFormat="false" ht="23.85" hidden="false" customHeight="false" outlineLevel="0" collapsed="false">
      <c r="A34" s="20" t="s">
        <v>181</v>
      </c>
      <c r="B34" s="20" t="s">
        <v>182</v>
      </c>
      <c r="C34" s="20" t="s">
        <v>183</v>
      </c>
      <c r="D34" s="23" t="s">
        <v>13</v>
      </c>
      <c r="E34" s="21" t="s">
        <v>4</v>
      </c>
      <c r="F34" s="20" t="s">
        <v>23</v>
      </c>
      <c r="G34" s="21" t="n">
        <v>3</v>
      </c>
      <c r="H34" s="20" t="s">
        <v>39</v>
      </c>
      <c r="I34" s="20" t="s">
        <v>184</v>
      </c>
      <c r="J34" s="20" t="s">
        <v>185</v>
      </c>
      <c r="K34" s="20"/>
    </row>
    <row r="35" customFormat="false" ht="35.05" hidden="false" customHeight="false" outlineLevel="0" collapsed="false">
      <c r="A35" s="18" t="s">
        <v>186</v>
      </c>
      <c r="B35" s="18" t="s">
        <v>187</v>
      </c>
      <c r="C35" s="18" t="s">
        <v>183</v>
      </c>
      <c r="D35" s="23" t="s">
        <v>13</v>
      </c>
      <c r="E35" s="9" t="s">
        <v>4</v>
      </c>
      <c r="F35" s="18" t="s">
        <v>23</v>
      </c>
      <c r="G35" s="9" t="n">
        <v>6</v>
      </c>
      <c r="H35" s="18" t="s">
        <v>39</v>
      </c>
      <c r="I35" s="18" t="s">
        <v>188</v>
      </c>
      <c r="J35" s="18" t="s">
        <v>189</v>
      </c>
      <c r="K35" s="18"/>
    </row>
    <row r="36" customFormat="false" ht="15" hidden="false" customHeight="false" outlineLevel="0" collapsed="false">
      <c r="A36" s="20" t="s">
        <v>190</v>
      </c>
      <c r="B36" s="20" t="s">
        <v>191</v>
      </c>
      <c r="C36" s="20" t="s">
        <v>112</v>
      </c>
      <c r="D36" s="24" t="s">
        <v>14</v>
      </c>
      <c r="E36" s="21" t="s">
        <v>4</v>
      </c>
      <c r="F36" s="20" t="s">
        <v>22</v>
      </c>
      <c r="G36" s="21" t="n">
        <v>2</v>
      </c>
      <c r="H36" s="20" t="s">
        <v>39</v>
      </c>
      <c r="I36" s="20" t="s">
        <v>192</v>
      </c>
      <c r="J36" s="20" t="s">
        <v>193</v>
      </c>
      <c r="K36" s="20"/>
    </row>
    <row r="37" customFormat="false" ht="23.85" hidden="false" customHeight="false" outlineLevel="0" collapsed="false">
      <c r="A37" s="18" t="s">
        <v>194</v>
      </c>
      <c r="B37" s="18" t="s">
        <v>195</v>
      </c>
      <c r="C37" s="18" t="s">
        <v>112</v>
      </c>
      <c r="D37" s="24" t="s">
        <v>14</v>
      </c>
      <c r="E37" s="9" t="s">
        <v>4</v>
      </c>
      <c r="F37" s="18" t="s">
        <v>22</v>
      </c>
      <c r="G37" s="9" t="n">
        <v>3</v>
      </c>
      <c r="H37" s="18" t="s">
        <v>196</v>
      </c>
      <c r="I37" s="18" t="s">
        <v>197</v>
      </c>
      <c r="J37" s="18" t="s">
        <v>198</v>
      </c>
      <c r="K37" s="18"/>
    </row>
    <row r="38" customFormat="false" ht="23.85" hidden="false" customHeight="false" outlineLevel="0" collapsed="false">
      <c r="A38" s="20" t="s">
        <v>199</v>
      </c>
      <c r="B38" s="20" t="s">
        <v>200</v>
      </c>
      <c r="C38" s="20" t="s">
        <v>112</v>
      </c>
      <c r="D38" s="24" t="s">
        <v>14</v>
      </c>
      <c r="E38" s="21" t="s">
        <v>4</v>
      </c>
      <c r="F38" s="20" t="s">
        <v>22</v>
      </c>
      <c r="G38" s="21" t="n">
        <v>2</v>
      </c>
      <c r="H38" s="20" t="s">
        <v>39</v>
      </c>
      <c r="I38" s="20" t="s">
        <v>201</v>
      </c>
      <c r="J38" s="20" t="s">
        <v>202</v>
      </c>
      <c r="K38" s="20"/>
    </row>
    <row r="39" customFormat="false" ht="23.85" hidden="false" customHeight="false" outlineLevel="0" collapsed="false">
      <c r="A39" s="18" t="s">
        <v>196</v>
      </c>
      <c r="B39" s="18" t="s">
        <v>203</v>
      </c>
      <c r="C39" s="18" t="s">
        <v>112</v>
      </c>
      <c r="D39" s="24" t="s">
        <v>14</v>
      </c>
      <c r="E39" s="9" t="s">
        <v>4</v>
      </c>
      <c r="F39" s="18" t="s">
        <v>20</v>
      </c>
      <c r="G39" s="9" t="n">
        <v>1</v>
      </c>
      <c r="H39" s="18" t="s">
        <v>39</v>
      </c>
      <c r="I39" s="18" t="s">
        <v>204</v>
      </c>
      <c r="J39" s="18" t="s">
        <v>205</v>
      </c>
      <c r="K39" s="18" t="s">
        <v>206</v>
      </c>
    </row>
    <row r="40" customFormat="false" ht="23.85" hidden="false" customHeight="false" outlineLevel="0" collapsed="false">
      <c r="A40" s="20" t="s">
        <v>207</v>
      </c>
      <c r="B40" s="20" t="s">
        <v>208</v>
      </c>
      <c r="C40" s="20" t="s">
        <v>118</v>
      </c>
      <c r="D40" s="24" t="s">
        <v>14</v>
      </c>
      <c r="E40" s="21" t="s">
        <v>4</v>
      </c>
      <c r="F40" s="20" t="s">
        <v>22</v>
      </c>
      <c r="G40" s="21" t="n">
        <v>3</v>
      </c>
      <c r="H40" s="20" t="s">
        <v>39</v>
      </c>
      <c r="I40" s="20" t="s">
        <v>209</v>
      </c>
      <c r="J40" s="20" t="s">
        <v>210</v>
      </c>
      <c r="K40" s="20"/>
    </row>
    <row r="41" customFormat="false" ht="23.85" hidden="false" customHeight="false" outlineLevel="0" collapsed="false">
      <c r="A41" s="18" t="s">
        <v>211</v>
      </c>
      <c r="B41" s="18" t="s">
        <v>212</v>
      </c>
      <c r="C41" s="18" t="s">
        <v>118</v>
      </c>
      <c r="D41" s="24" t="s">
        <v>14</v>
      </c>
      <c r="E41" s="9" t="s">
        <v>4</v>
      </c>
      <c r="F41" s="18" t="s">
        <v>20</v>
      </c>
      <c r="G41" s="9" t="n">
        <v>2</v>
      </c>
      <c r="H41" s="18" t="s">
        <v>43</v>
      </c>
      <c r="I41" s="18" t="s">
        <v>213</v>
      </c>
      <c r="J41" s="18" t="s">
        <v>214</v>
      </c>
      <c r="K41" s="18"/>
    </row>
    <row r="42" customFormat="false" ht="23.85" hidden="false" customHeight="false" outlineLevel="0" collapsed="false">
      <c r="A42" s="20" t="s">
        <v>215</v>
      </c>
      <c r="B42" s="20" t="s">
        <v>216</v>
      </c>
      <c r="C42" s="20" t="s">
        <v>118</v>
      </c>
      <c r="D42" s="24" t="s">
        <v>14</v>
      </c>
      <c r="E42" s="21" t="s">
        <v>4</v>
      </c>
      <c r="F42" s="20" t="s">
        <v>20</v>
      </c>
      <c r="G42" s="21" t="n">
        <v>1</v>
      </c>
      <c r="H42" s="20" t="s">
        <v>39</v>
      </c>
      <c r="I42" s="20" t="s">
        <v>217</v>
      </c>
      <c r="J42" s="20" t="s">
        <v>218</v>
      </c>
      <c r="K42" s="20" t="s">
        <v>219</v>
      </c>
    </row>
    <row r="43" customFormat="false" ht="23.85" hidden="false" customHeight="false" outlineLevel="0" collapsed="false">
      <c r="A43" s="18" t="s">
        <v>220</v>
      </c>
      <c r="B43" s="18" t="s">
        <v>221</v>
      </c>
      <c r="C43" s="18" t="s">
        <v>56</v>
      </c>
      <c r="D43" s="24" t="s">
        <v>14</v>
      </c>
      <c r="E43" s="9" t="s">
        <v>4</v>
      </c>
      <c r="F43" s="18" t="s">
        <v>22</v>
      </c>
      <c r="G43" s="9" t="n">
        <v>3</v>
      </c>
      <c r="H43" s="18" t="s">
        <v>54</v>
      </c>
      <c r="I43" s="18" t="s">
        <v>222</v>
      </c>
      <c r="J43" s="18" t="s">
        <v>223</v>
      </c>
      <c r="K43" s="18" t="s">
        <v>224</v>
      </c>
    </row>
    <row r="44" customFormat="false" ht="23.85" hidden="false" customHeight="false" outlineLevel="0" collapsed="false">
      <c r="A44" s="20" t="s">
        <v>225</v>
      </c>
      <c r="B44" s="20" t="s">
        <v>226</v>
      </c>
      <c r="C44" s="20" t="s">
        <v>56</v>
      </c>
      <c r="D44" s="24" t="s">
        <v>14</v>
      </c>
      <c r="E44" s="21" t="s">
        <v>4</v>
      </c>
      <c r="F44" s="20" t="s">
        <v>21</v>
      </c>
      <c r="G44" s="21" t="n">
        <v>2</v>
      </c>
      <c r="H44" s="20" t="s">
        <v>39</v>
      </c>
      <c r="I44" s="20" t="s">
        <v>227</v>
      </c>
      <c r="J44" s="20" t="s">
        <v>228</v>
      </c>
      <c r="K44" s="20"/>
    </row>
    <row r="45" customFormat="false" ht="23.85" hidden="false" customHeight="false" outlineLevel="0" collapsed="false">
      <c r="A45" s="18" t="s">
        <v>229</v>
      </c>
      <c r="B45" s="18" t="s">
        <v>230</v>
      </c>
      <c r="C45" s="18" t="s">
        <v>56</v>
      </c>
      <c r="D45" s="24" t="s">
        <v>14</v>
      </c>
      <c r="E45" s="9" t="s">
        <v>4</v>
      </c>
      <c r="F45" s="18" t="s">
        <v>24</v>
      </c>
      <c r="G45" s="9" t="n">
        <v>2</v>
      </c>
      <c r="H45" s="18" t="s">
        <v>39</v>
      </c>
      <c r="I45" s="18" t="s">
        <v>231</v>
      </c>
      <c r="J45" s="18" t="s">
        <v>232</v>
      </c>
      <c r="K45" s="18" t="s">
        <v>233</v>
      </c>
    </row>
    <row r="46" customFormat="false" ht="23.85" hidden="false" customHeight="false" outlineLevel="0" collapsed="false">
      <c r="A46" s="20" t="s">
        <v>234</v>
      </c>
      <c r="B46" s="20" t="s">
        <v>235</v>
      </c>
      <c r="C46" s="20" t="s">
        <v>56</v>
      </c>
      <c r="D46" s="24" t="s">
        <v>14</v>
      </c>
      <c r="E46" s="21" t="s">
        <v>4</v>
      </c>
      <c r="F46" s="20" t="s">
        <v>24</v>
      </c>
      <c r="G46" s="21" t="n">
        <v>4</v>
      </c>
      <c r="H46" s="20" t="s">
        <v>39</v>
      </c>
      <c r="I46" s="20" t="s">
        <v>236</v>
      </c>
      <c r="J46" s="20" t="s">
        <v>237</v>
      </c>
      <c r="K46" s="20" t="s">
        <v>238</v>
      </c>
    </row>
    <row r="47" customFormat="false" ht="15" hidden="false" customHeight="false" outlineLevel="0" collapsed="false">
      <c r="A47" s="18" t="s">
        <v>239</v>
      </c>
      <c r="B47" s="18" t="s">
        <v>240</v>
      </c>
      <c r="C47" s="18" t="s">
        <v>124</v>
      </c>
      <c r="D47" s="24" t="s">
        <v>14</v>
      </c>
      <c r="E47" s="9" t="s">
        <v>4</v>
      </c>
      <c r="F47" s="18" t="s">
        <v>20</v>
      </c>
      <c r="G47" s="9" t="n">
        <v>1</v>
      </c>
      <c r="H47" s="18" t="s">
        <v>39</v>
      </c>
      <c r="I47" s="18" t="s">
        <v>241</v>
      </c>
      <c r="J47" s="18" t="s">
        <v>126</v>
      </c>
      <c r="K47" s="18" t="s">
        <v>219</v>
      </c>
    </row>
    <row r="48" customFormat="false" ht="23.85" hidden="false" customHeight="false" outlineLevel="0" collapsed="false">
      <c r="A48" s="20" t="s">
        <v>242</v>
      </c>
      <c r="B48" s="20" t="s">
        <v>243</v>
      </c>
      <c r="C48" s="20" t="s">
        <v>124</v>
      </c>
      <c r="D48" s="24" t="s">
        <v>14</v>
      </c>
      <c r="E48" s="21" t="s">
        <v>4</v>
      </c>
      <c r="F48" s="20" t="s">
        <v>20</v>
      </c>
      <c r="G48" s="21" t="n">
        <v>1</v>
      </c>
      <c r="H48" s="20" t="s">
        <v>39</v>
      </c>
      <c r="I48" s="20" t="s">
        <v>244</v>
      </c>
      <c r="J48" s="20" t="s">
        <v>126</v>
      </c>
      <c r="K48" s="20" t="s">
        <v>219</v>
      </c>
    </row>
    <row r="49" customFormat="false" ht="15" hidden="false" customHeight="false" outlineLevel="0" collapsed="false">
      <c r="A49" s="18" t="s">
        <v>245</v>
      </c>
      <c r="B49" s="18" t="s">
        <v>246</v>
      </c>
      <c r="C49" s="18" t="s">
        <v>62</v>
      </c>
      <c r="D49" s="24" t="s">
        <v>14</v>
      </c>
      <c r="E49" s="9" t="s">
        <v>4</v>
      </c>
      <c r="F49" s="18" t="s">
        <v>20</v>
      </c>
      <c r="G49" s="9" t="n">
        <v>1</v>
      </c>
      <c r="H49" s="18" t="s">
        <v>39</v>
      </c>
      <c r="I49" s="18" t="s">
        <v>247</v>
      </c>
      <c r="J49" s="18" t="s">
        <v>248</v>
      </c>
      <c r="K49" s="18" t="s">
        <v>219</v>
      </c>
    </row>
    <row r="50" customFormat="false" ht="23.85" hidden="false" customHeight="false" outlineLevel="0" collapsed="false">
      <c r="A50" s="20" t="s">
        <v>249</v>
      </c>
      <c r="B50" s="20" t="s">
        <v>250</v>
      </c>
      <c r="C50" s="20" t="s">
        <v>68</v>
      </c>
      <c r="D50" s="24" t="s">
        <v>14</v>
      </c>
      <c r="E50" s="21" t="s">
        <v>4</v>
      </c>
      <c r="F50" s="20" t="s">
        <v>22</v>
      </c>
      <c r="G50" s="21" t="n">
        <v>2</v>
      </c>
      <c r="H50" s="20" t="s">
        <v>66</v>
      </c>
      <c r="I50" s="20" t="s">
        <v>251</v>
      </c>
      <c r="J50" s="20" t="s">
        <v>252</v>
      </c>
      <c r="K50" s="20"/>
    </row>
    <row r="51" customFormat="false" ht="23.85" hidden="false" customHeight="false" outlineLevel="0" collapsed="false">
      <c r="A51" s="18" t="s">
        <v>253</v>
      </c>
      <c r="B51" s="18" t="s">
        <v>254</v>
      </c>
      <c r="C51" s="18" t="s">
        <v>138</v>
      </c>
      <c r="D51" s="24" t="s">
        <v>14</v>
      </c>
      <c r="E51" s="9" t="s">
        <v>4</v>
      </c>
      <c r="F51" s="18" t="s">
        <v>22</v>
      </c>
      <c r="G51" s="9" t="n">
        <v>1</v>
      </c>
      <c r="H51" s="18" t="s">
        <v>39</v>
      </c>
      <c r="I51" s="18" t="s">
        <v>255</v>
      </c>
      <c r="J51" s="18" t="s">
        <v>256</v>
      </c>
      <c r="K51" s="18"/>
    </row>
    <row r="52" customFormat="false" ht="23.85" hidden="false" customHeight="false" outlineLevel="0" collapsed="false">
      <c r="A52" s="20" t="s">
        <v>257</v>
      </c>
      <c r="B52" s="20" t="s">
        <v>258</v>
      </c>
      <c r="C52" s="20" t="s">
        <v>79</v>
      </c>
      <c r="D52" s="24" t="s">
        <v>14</v>
      </c>
      <c r="E52" s="21" t="s">
        <v>4</v>
      </c>
      <c r="F52" s="20" t="s">
        <v>22</v>
      </c>
      <c r="G52" s="21" t="n">
        <v>2</v>
      </c>
      <c r="H52" s="20" t="s">
        <v>77</v>
      </c>
      <c r="I52" s="20" t="s">
        <v>259</v>
      </c>
      <c r="J52" s="20" t="s">
        <v>260</v>
      </c>
      <c r="K52" s="20"/>
    </row>
    <row r="53" customFormat="false" ht="23.85" hidden="false" customHeight="false" outlineLevel="0" collapsed="false">
      <c r="A53" s="18" t="s">
        <v>261</v>
      </c>
      <c r="B53" s="18" t="s">
        <v>262</v>
      </c>
      <c r="C53" s="18" t="s">
        <v>147</v>
      </c>
      <c r="D53" s="24" t="s">
        <v>14</v>
      </c>
      <c r="E53" s="9" t="s">
        <v>4</v>
      </c>
      <c r="F53" s="18" t="s">
        <v>21</v>
      </c>
      <c r="G53" s="9" t="n">
        <v>2</v>
      </c>
      <c r="H53" s="18" t="s">
        <v>77</v>
      </c>
      <c r="I53" s="18" t="s">
        <v>263</v>
      </c>
      <c r="J53" s="18" t="s">
        <v>264</v>
      </c>
      <c r="K53" s="18"/>
    </row>
    <row r="54" customFormat="false" ht="23.85" hidden="false" customHeight="false" outlineLevel="0" collapsed="false">
      <c r="A54" s="20" t="s">
        <v>265</v>
      </c>
      <c r="B54" s="20" t="s">
        <v>266</v>
      </c>
      <c r="C54" s="20" t="s">
        <v>267</v>
      </c>
      <c r="D54" s="24" t="s">
        <v>14</v>
      </c>
      <c r="E54" s="21" t="s">
        <v>4</v>
      </c>
      <c r="F54" s="20" t="s">
        <v>22</v>
      </c>
      <c r="G54" s="21" t="n">
        <v>2</v>
      </c>
      <c r="H54" s="20" t="s">
        <v>39</v>
      </c>
      <c r="I54" s="20" t="s">
        <v>268</v>
      </c>
      <c r="J54" s="20" t="s">
        <v>269</v>
      </c>
      <c r="K54" s="20"/>
    </row>
    <row r="55" customFormat="false" ht="23.85" hidden="false" customHeight="false" outlineLevel="0" collapsed="false">
      <c r="A55" s="18" t="s">
        <v>270</v>
      </c>
      <c r="B55" s="18" t="s">
        <v>271</v>
      </c>
      <c r="C55" s="18" t="s">
        <v>267</v>
      </c>
      <c r="D55" s="24" t="s">
        <v>14</v>
      </c>
      <c r="E55" s="9" t="s">
        <v>4</v>
      </c>
      <c r="F55" s="18" t="s">
        <v>23</v>
      </c>
      <c r="G55" s="9" t="n">
        <v>3</v>
      </c>
      <c r="H55" s="18" t="s">
        <v>39</v>
      </c>
      <c r="I55" s="18" t="s">
        <v>272</v>
      </c>
      <c r="J55" s="18" t="s">
        <v>193</v>
      </c>
      <c r="K55" s="18"/>
    </row>
    <row r="56" customFormat="false" ht="23.85" hidden="false" customHeight="false" outlineLevel="0" collapsed="false">
      <c r="A56" s="20" t="s">
        <v>273</v>
      </c>
      <c r="B56" s="20" t="s">
        <v>274</v>
      </c>
      <c r="C56" s="20" t="s">
        <v>165</v>
      </c>
      <c r="D56" s="24" t="s">
        <v>14</v>
      </c>
      <c r="E56" s="21" t="s">
        <v>4</v>
      </c>
      <c r="F56" s="20" t="s">
        <v>22</v>
      </c>
      <c r="G56" s="21" t="n">
        <v>2</v>
      </c>
      <c r="H56" s="20" t="s">
        <v>39</v>
      </c>
      <c r="I56" s="20" t="s">
        <v>275</v>
      </c>
      <c r="J56" s="20" t="s">
        <v>276</v>
      </c>
      <c r="K56" s="20"/>
    </row>
    <row r="57" customFormat="false" ht="23.85" hidden="false" customHeight="false" outlineLevel="0" collapsed="false">
      <c r="A57" s="18" t="s">
        <v>277</v>
      </c>
      <c r="B57" s="18" t="s">
        <v>278</v>
      </c>
      <c r="C57" s="18" t="s">
        <v>279</v>
      </c>
      <c r="D57" s="24" t="s">
        <v>14</v>
      </c>
      <c r="E57" s="9" t="s">
        <v>4</v>
      </c>
      <c r="F57" s="18" t="s">
        <v>24</v>
      </c>
      <c r="G57" s="9" t="n">
        <v>8</v>
      </c>
      <c r="H57" s="18" t="s">
        <v>39</v>
      </c>
      <c r="I57" s="18" t="s">
        <v>280</v>
      </c>
      <c r="J57" s="18" t="s">
        <v>281</v>
      </c>
      <c r="K57" s="18" t="s">
        <v>282</v>
      </c>
    </row>
    <row r="58" customFormat="false" ht="23.85" hidden="false" customHeight="false" outlineLevel="0" collapsed="false">
      <c r="A58" s="20" t="s">
        <v>283</v>
      </c>
      <c r="B58" s="20" t="s">
        <v>284</v>
      </c>
      <c r="C58" s="20" t="s">
        <v>174</v>
      </c>
      <c r="D58" s="24" t="s">
        <v>14</v>
      </c>
      <c r="E58" s="21" t="s">
        <v>4</v>
      </c>
      <c r="F58" s="20" t="s">
        <v>24</v>
      </c>
      <c r="G58" s="21" t="n">
        <v>2</v>
      </c>
      <c r="H58" s="20" t="s">
        <v>39</v>
      </c>
      <c r="I58" s="20" t="s">
        <v>285</v>
      </c>
      <c r="J58" s="20" t="s">
        <v>286</v>
      </c>
      <c r="K58" s="20"/>
    </row>
    <row r="59" customFormat="false" ht="23.85" hidden="false" customHeight="false" outlineLevel="0" collapsed="false">
      <c r="A59" s="18" t="s">
        <v>287</v>
      </c>
      <c r="B59" s="18" t="s">
        <v>288</v>
      </c>
      <c r="C59" s="18" t="s">
        <v>183</v>
      </c>
      <c r="D59" s="24" t="s">
        <v>14</v>
      </c>
      <c r="E59" s="9" t="s">
        <v>4</v>
      </c>
      <c r="F59" s="18" t="s">
        <v>23</v>
      </c>
      <c r="G59" s="9" t="n">
        <v>4</v>
      </c>
      <c r="H59" s="18" t="s">
        <v>39</v>
      </c>
      <c r="I59" s="18" t="s">
        <v>289</v>
      </c>
      <c r="J59" s="18" t="s">
        <v>290</v>
      </c>
      <c r="K59" s="18"/>
    </row>
    <row r="60" customFormat="false" ht="46.25" hidden="false" customHeight="false" outlineLevel="0" collapsed="false">
      <c r="A60" s="20" t="s">
        <v>291</v>
      </c>
      <c r="B60" s="20" t="s">
        <v>292</v>
      </c>
      <c r="C60" s="20" t="s">
        <v>293</v>
      </c>
      <c r="D60" s="19" t="s">
        <v>12</v>
      </c>
      <c r="E60" s="21" t="s">
        <v>4</v>
      </c>
      <c r="F60" s="20" t="s">
        <v>20</v>
      </c>
      <c r="G60" s="21" t="n">
        <v>20</v>
      </c>
      <c r="H60" s="20" t="s">
        <v>39</v>
      </c>
      <c r="I60" s="20" t="s">
        <v>294</v>
      </c>
      <c r="J60" s="20" t="s">
        <v>295</v>
      </c>
      <c r="K60" s="20" t="s">
        <v>296</v>
      </c>
    </row>
    <row r="61" customFormat="false" ht="68.65" hidden="false" customHeight="false" outlineLevel="0" collapsed="false">
      <c r="A61" s="18" t="s">
        <v>297</v>
      </c>
      <c r="B61" s="18" t="s">
        <v>298</v>
      </c>
      <c r="C61" s="18" t="s">
        <v>293</v>
      </c>
      <c r="D61" s="19" t="s">
        <v>12</v>
      </c>
      <c r="E61" s="9" t="s">
        <v>4</v>
      </c>
      <c r="F61" s="18" t="s">
        <v>20</v>
      </c>
      <c r="G61" s="9" t="n">
        <v>4</v>
      </c>
      <c r="H61" s="18" t="s">
        <v>39</v>
      </c>
      <c r="I61" s="18" t="s">
        <v>299</v>
      </c>
      <c r="J61" s="18" t="s">
        <v>300</v>
      </c>
      <c r="K61" s="18" t="s">
        <v>301</v>
      </c>
    </row>
    <row r="62" customFormat="false" ht="57.45" hidden="false" customHeight="false" outlineLevel="0" collapsed="false">
      <c r="A62" s="20" t="s">
        <v>302</v>
      </c>
      <c r="B62" s="20" t="s">
        <v>303</v>
      </c>
      <c r="C62" s="20" t="s">
        <v>293</v>
      </c>
      <c r="D62" s="19" t="s">
        <v>12</v>
      </c>
      <c r="E62" s="21" t="s">
        <v>4</v>
      </c>
      <c r="F62" s="20" t="s">
        <v>21</v>
      </c>
      <c r="G62" s="21" t="n">
        <v>20</v>
      </c>
      <c r="H62" s="20" t="s">
        <v>304</v>
      </c>
      <c r="I62" s="20" t="s">
        <v>305</v>
      </c>
      <c r="J62" s="20" t="s">
        <v>306</v>
      </c>
      <c r="K62" s="20" t="s">
        <v>307</v>
      </c>
    </row>
    <row r="63" customFormat="false" ht="35.05" hidden="false" customHeight="false" outlineLevel="0" collapsed="false">
      <c r="A63" s="18" t="s">
        <v>308</v>
      </c>
      <c r="B63" s="18" t="s">
        <v>309</v>
      </c>
      <c r="C63" s="18" t="s">
        <v>293</v>
      </c>
      <c r="D63" s="23" t="s">
        <v>13</v>
      </c>
      <c r="E63" s="9" t="s">
        <v>4</v>
      </c>
      <c r="F63" s="18" t="s">
        <v>20</v>
      </c>
      <c r="G63" s="9" t="n">
        <v>6</v>
      </c>
      <c r="H63" s="18" t="s">
        <v>39</v>
      </c>
      <c r="I63" s="18" t="s">
        <v>310</v>
      </c>
      <c r="J63" s="18" t="s">
        <v>311</v>
      </c>
      <c r="K63" s="18" t="s">
        <v>312</v>
      </c>
    </row>
    <row r="64" customFormat="false" ht="46.25" hidden="false" customHeight="false" outlineLevel="0" collapsed="false">
      <c r="A64" s="20" t="s">
        <v>313</v>
      </c>
      <c r="B64" s="20" t="s">
        <v>314</v>
      </c>
      <c r="C64" s="20" t="s">
        <v>315</v>
      </c>
      <c r="D64" s="23" t="s">
        <v>13</v>
      </c>
      <c r="E64" s="21" t="s">
        <v>4</v>
      </c>
      <c r="F64" s="20" t="s">
        <v>21</v>
      </c>
      <c r="G64" s="21" t="n">
        <v>8</v>
      </c>
      <c r="H64" s="20" t="s">
        <v>39</v>
      </c>
      <c r="I64" s="20" t="s">
        <v>316</v>
      </c>
      <c r="J64" s="20" t="s">
        <v>317</v>
      </c>
      <c r="K64" s="20" t="s">
        <v>318</v>
      </c>
    </row>
    <row r="65" customFormat="false" ht="57.45" hidden="false" customHeight="false" outlineLevel="0" collapsed="false">
      <c r="A65" s="18" t="s">
        <v>319</v>
      </c>
      <c r="B65" s="18" t="s">
        <v>320</v>
      </c>
      <c r="C65" s="18" t="s">
        <v>293</v>
      </c>
      <c r="D65" s="23" t="s">
        <v>13</v>
      </c>
      <c r="E65" s="9" t="s">
        <v>4</v>
      </c>
      <c r="F65" s="18" t="s">
        <v>22</v>
      </c>
      <c r="G65" s="9" t="n">
        <v>12</v>
      </c>
      <c r="H65" s="18" t="s">
        <v>39</v>
      </c>
      <c r="I65" s="18" t="s">
        <v>321</v>
      </c>
      <c r="J65" s="18" t="s">
        <v>322</v>
      </c>
      <c r="K65" s="18" t="s">
        <v>323</v>
      </c>
    </row>
    <row r="66" customFormat="false" ht="46.25" hidden="false" customHeight="false" outlineLevel="0" collapsed="false">
      <c r="A66" s="20" t="s">
        <v>324</v>
      </c>
      <c r="B66" s="20" t="s">
        <v>325</v>
      </c>
      <c r="C66" s="20" t="s">
        <v>293</v>
      </c>
      <c r="D66" s="23" t="s">
        <v>13</v>
      </c>
      <c r="E66" s="21" t="s">
        <v>4</v>
      </c>
      <c r="F66" s="20" t="s">
        <v>22</v>
      </c>
      <c r="G66" s="21" t="n">
        <v>12</v>
      </c>
      <c r="H66" s="20" t="s">
        <v>302</v>
      </c>
      <c r="I66" s="20" t="s">
        <v>326</v>
      </c>
      <c r="J66" s="20" t="s">
        <v>327</v>
      </c>
      <c r="K66" s="20" t="s">
        <v>328</v>
      </c>
    </row>
    <row r="67" customFormat="false" ht="57.45" hidden="false" customHeight="false" outlineLevel="0" collapsed="false">
      <c r="A67" s="18" t="s">
        <v>329</v>
      </c>
      <c r="B67" s="18" t="s">
        <v>330</v>
      </c>
      <c r="C67" s="18" t="s">
        <v>331</v>
      </c>
      <c r="D67" s="23" t="s">
        <v>13</v>
      </c>
      <c r="E67" s="9" t="s">
        <v>4</v>
      </c>
      <c r="F67" s="18" t="s">
        <v>21</v>
      </c>
      <c r="G67" s="9" t="n">
        <v>24</v>
      </c>
      <c r="H67" s="18" t="s">
        <v>332</v>
      </c>
      <c r="I67" s="18" t="s">
        <v>333</v>
      </c>
      <c r="J67" s="18" t="s">
        <v>334</v>
      </c>
      <c r="K67" s="18" t="s">
        <v>335</v>
      </c>
    </row>
    <row r="69" customFormat="false" ht="15" hidden="false" customHeight="false" outlineLevel="0" collapsed="false">
      <c r="A69" s="25" t="s">
        <v>336</v>
      </c>
      <c r="G69" s="26" t="n">
        <f aca="false">SUM(G5:G67)</f>
        <v>264</v>
      </c>
    </row>
  </sheetData>
  <autoFilter ref="A4:K4"/>
  <mergeCells count="2">
    <mergeCell ref="A1:K1"/>
    <mergeCell ref="A2:K2"/>
  </mergeCells>
  <dataValidations count="2">
    <dataValidation allowBlank="true" error="Pick a status" errorStyle="stop" operator="between" showDropDown="false" showErrorMessage="false" showInputMessage="false" sqref="E5:E67" type="list">
      <formula1>"Not Started,In Progress,Done,Blocked,Won't Fix"</formula1>
      <formula2>0</formula2>
    </dataValidation>
    <dataValidation allowBlank="true" errorStyle="stop" operator="between" showDropDown="false" showErrorMessage="false" showInputMessage="false" sqref="F5:F67" type="list">
      <formula1>"Sprint 0 (Now),Sprint 1,Sprint 2,Sprint 3,Sprint 4,Sprint 5,Backlog"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27" t="s">
        <v>337</v>
      </c>
      <c r="B1" s="27"/>
      <c r="C1" s="27"/>
      <c r="D1" s="27"/>
      <c r="E1" s="27"/>
      <c r="F1" s="27"/>
    </row>
    <row r="3" customFormat="false" ht="15" hidden="false" customHeight="false" outlineLevel="0" collapsed="false">
      <c r="A3" s="7" t="s">
        <v>16</v>
      </c>
      <c r="B3" s="7" t="s">
        <v>338</v>
      </c>
      <c r="C3" s="7" t="s">
        <v>339</v>
      </c>
      <c r="D3" s="7" t="s">
        <v>340</v>
      </c>
      <c r="E3" s="7" t="s">
        <v>341</v>
      </c>
      <c r="F3" s="7" t="s">
        <v>342</v>
      </c>
    </row>
    <row r="4" customFormat="false" ht="99.75" hidden="false" customHeight="true" outlineLevel="0" collapsed="false">
      <c r="A4" s="28" t="s">
        <v>343</v>
      </c>
      <c r="B4" s="20" t="s">
        <v>344</v>
      </c>
      <c r="C4" s="20" t="s">
        <v>345</v>
      </c>
      <c r="D4" s="9" t="s">
        <v>346</v>
      </c>
      <c r="E4" s="20" t="s">
        <v>39</v>
      </c>
      <c r="F4" s="29" t="s">
        <v>347</v>
      </c>
    </row>
    <row r="5" customFormat="false" ht="99.75" hidden="false" customHeight="true" outlineLevel="0" collapsed="false">
      <c r="A5" s="30" t="s">
        <v>348</v>
      </c>
      <c r="B5" s="18" t="s">
        <v>349</v>
      </c>
      <c r="C5" s="18" t="s">
        <v>350</v>
      </c>
      <c r="D5" s="9" t="s">
        <v>351</v>
      </c>
      <c r="E5" s="18" t="s">
        <v>39</v>
      </c>
      <c r="F5" s="31" t="s">
        <v>352</v>
      </c>
    </row>
    <row r="6" customFormat="false" ht="99.75" hidden="false" customHeight="true" outlineLevel="0" collapsed="false">
      <c r="A6" s="28" t="s">
        <v>353</v>
      </c>
      <c r="B6" s="20" t="s">
        <v>354</v>
      </c>
      <c r="C6" s="20" t="s">
        <v>355</v>
      </c>
      <c r="D6" s="9" t="s">
        <v>356</v>
      </c>
      <c r="E6" s="20" t="s">
        <v>357</v>
      </c>
      <c r="F6" s="32" t="s">
        <v>358</v>
      </c>
    </row>
    <row r="7" customFormat="false" ht="99.75" hidden="false" customHeight="true" outlineLevel="0" collapsed="false">
      <c r="A7" s="30" t="s">
        <v>359</v>
      </c>
      <c r="B7" s="18" t="s">
        <v>360</v>
      </c>
      <c r="C7" s="18" t="s">
        <v>361</v>
      </c>
      <c r="D7" s="9" t="s">
        <v>362</v>
      </c>
      <c r="E7" s="18" t="s">
        <v>363</v>
      </c>
      <c r="F7" s="31" t="s">
        <v>364</v>
      </c>
    </row>
    <row r="8" customFormat="false" ht="99.75" hidden="false" customHeight="true" outlineLevel="0" collapsed="false">
      <c r="A8" s="28" t="s">
        <v>365</v>
      </c>
      <c r="B8" s="20" t="s">
        <v>366</v>
      </c>
      <c r="C8" s="20" t="s">
        <v>367</v>
      </c>
      <c r="D8" s="9" t="s">
        <v>368</v>
      </c>
      <c r="E8" s="20" t="s">
        <v>39</v>
      </c>
      <c r="F8" s="29" t="s">
        <v>369</v>
      </c>
    </row>
    <row r="9" customFormat="false" ht="99.75" hidden="false" customHeight="true" outlineLevel="0" collapsed="false">
      <c r="A9" s="30" t="s">
        <v>24</v>
      </c>
      <c r="B9" s="18" t="s">
        <v>370</v>
      </c>
      <c r="C9" s="18" t="s">
        <v>371</v>
      </c>
      <c r="D9" s="9" t="s">
        <v>372</v>
      </c>
      <c r="E9" s="18" t="s">
        <v>39</v>
      </c>
      <c r="F9" s="29" t="s">
        <v>347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35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30" hidden="false" customHeight="true" outlineLevel="0" collapsed="false">
      <c r="A1" s="27" t="s">
        <v>373</v>
      </c>
      <c r="B1" s="27"/>
      <c r="C1" s="27"/>
      <c r="D1" s="27"/>
      <c r="E1" s="27"/>
      <c r="F1" s="27"/>
    </row>
    <row r="2" customFormat="false" ht="15" hidden="false" customHeight="false" outlineLevel="0" collapsed="false">
      <c r="A2" s="17" t="s">
        <v>374</v>
      </c>
      <c r="B2" s="17"/>
      <c r="C2" s="17"/>
      <c r="D2" s="17"/>
      <c r="E2" s="17"/>
      <c r="F2" s="17"/>
    </row>
    <row r="4" customFormat="false" ht="15" hidden="false" customHeight="false" outlineLevel="0" collapsed="false">
      <c r="A4" s="33" t="s">
        <v>375</v>
      </c>
      <c r="B4" s="33"/>
      <c r="C4" s="33"/>
      <c r="D4" s="33"/>
      <c r="E4" s="33"/>
      <c r="F4" s="33"/>
    </row>
    <row r="5" customFormat="false" ht="26.85" hidden="false" customHeight="false" outlineLevel="0" collapsed="false">
      <c r="A5" s="7" t="s">
        <v>376</v>
      </c>
      <c r="B5" s="7" t="s">
        <v>377</v>
      </c>
      <c r="C5" s="7" t="s">
        <v>378</v>
      </c>
      <c r="D5" s="7" t="s">
        <v>379</v>
      </c>
      <c r="E5" s="7" t="s">
        <v>380</v>
      </c>
      <c r="F5" s="7" t="s">
        <v>35</v>
      </c>
    </row>
    <row r="6" customFormat="false" ht="34.5" hidden="false" customHeight="true" outlineLevel="0" collapsed="false">
      <c r="A6" s="20" t="s">
        <v>381</v>
      </c>
      <c r="B6" s="20" t="s">
        <v>382</v>
      </c>
      <c r="C6" s="20" t="s">
        <v>383</v>
      </c>
      <c r="D6" s="18" t="s">
        <v>384</v>
      </c>
      <c r="E6" s="20" t="s">
        <v>385</v>
      </c>
      <c r="F6" s="20" t="s">
        <v>386</v>
      </c>
    </row>
    <row r="7" customFormat="false" ht="34.5" hidden="false" customHeight="true" outlineLevel="0" collapsed="false">
      <c r="A7" s="18" t="s">
        <v>387</v>
      </c>
      <c r="B7" s="18" t="s">
        <v>388</v>
      </c>
      <c r="C7" s="18" t="s">
        <v>389</v>
      </c>
      <c r="D7" s="18" t="s">
        <v>390</v>
      </c>
      <c r="E7" s="18" t="s">
        <v>385</v>
      </c>
      <c r="F7" s="18" t="s">
        <v>391</v>
      </c>
    </row>
    <row r="8" customFormat="false" ht="34.5" hidden="false" customHeight="true" outlineLevel="0" collapsed="false">
      <c r="A8" s="20" t="s">
        <v>392</v>
      </c>
      <c r="B8" s="20" t="s">
        <v>393</v>
      </c>
      <c r="C8" s="20" t="s">
        <v>389</v>
      </c>
      <c r="D8" s="18" t="s">
        <v>390</v>
      </c>
      <c r="E8" s="20" t="s">
        <v>385</v>
      </c>
      <c r="F8" s="20" t="s">
        <v>394</v>
      </c>
    </row>
    <row r="9" customFormat="false" ht="34.5" hidden="false" customHeight="true" outlineLevel="0" collapsed="false">
      <c r="A9" s="18" t="s">
        <v>395</v>
      </c>
      <c r="B9" s="18" t="s">
        <v>396</v>
      </c>
      <c r="C9" s="18" t="s">
        <v>397</v>
      </c>
      <c r="D9" s="18" t="s">
        <v>390</v>
      </c>
      <c r="E9" s="18" t="s">
        <v>398</v>
      </c>
      <c r="F9" s="18" t="s">
        <v>399</v>
      </c>
    </row>
    <row r="12" customFormat="false" ht="15" hidden="false" customHeight="false" outlineLevel="0" collapsed="false">
      <c r="A12" s="33" t="s">
        <v>400</v>
      </c>
      <c r="B12" s="33"/>
      <c r="C12" s="33"/>
      <c r="D12" s="33"/>
      <c r="E12" s="33"/>
      <c r="F12" s="33"/>
    </row>
    <row r="13" customFormat="false" ht="15" hidden="false" customHeight="false" outlineLevel="0" collapsed="false">
      <c r="A13" s="7" t="s">
        <v>401</v>
      </c>
      <c r="B13" s="7" t="s">
        <v>402</v>
      </c>
      <c r="C13" s="7" t="s">
        <v>403</v>
      </c>
      <c r="D13" s="7" t="s">
        <v>404</v>
      </c>
      <c r="E13" s="7" t="s">
        <v>405</v>
      </c>
      <c r="F13" s="7" t="s">
        <v>35</v>
      </c>
    </row>
    <row r="14" customFormat="false" ht="30" hidden="false" customHeight="true" outlineLevel="0" collapsed="false">
      <c r="A14" s="20" t="s">
        <v>406</v>
      </c>
      <c r="B14" s="20" t="s">
        <v>407</v>
      </c>
      <c r="C14" s="20" t="s">
        <v>408</v>
      </c>
      <c r="D14" s="18" t="s">
        <v>409</v>
      </c>
      <c r="E14" s="20" t="s">
        <v>385</v>
      </c>
      <c r="F14" s="20" t="s">
        <v>410</v>
      </c>
    </row>
    <row r="15" customFormat="false" ht="30" hidden="false" customHeight="true" outlineLevel="0" collapsed="false">
      <c r="A15" s="18" t="s">
        <v>411</v>
      </c>
      <c r="B15" s="18" t="s">
        <v>412</v>
      </c>
      <c r="C15" s="18" t="s">
        <v>413</v>
      </c>
      <c r="D15" s="18" t="s">
        <v>414</v>
      </c>
      <c r="E15" s="18" t="s">
        <v>385</v>
      </c>
      <c r="F15" s="18" t="s">
        <v>415</v>
      </c>
    </row>
    <row r="16" customFormat="false" ht="30" hidden="false" customHeight="true" outlineLevel="0" collapsed="false">
      <c r="A16" s="20" t="s">
        <v>416</v>
      </c>
      <c r="B16" s="20" t="s">
        <v>417</v>
      </c>
      <c r="C16" s="20" t="s">
        <v>418</v>
      </c>
      <c r="D16" s="18" t="s">
        <v>419</v>
      </c>
      <c r="E16" s="20" t="s">
        <v>385</v>
      </c>
      <c r="F16" s="20" t="s">
        <v>420</v>
      </c>
    </row>
    <row r="17" customFormat="false" ht="30" hidden="false" customHeight="true" outlineLevel="0" collapsed="false">
      <c r="A17" s="18" t="s">
        <v>421</v>
      </c>
      <c r="B17" s="18" t="s">
        <v>422</v>
      </c>
      <c r="C17" s="18" t="s">
        <v>423</v>
      </c>
      <c r="D17" s="18" t="s">
        <v>424</v>
      </c>
      <c r="E17" s="18" t="s">
        <v>385</v>
      </c>
      <c r="F17" s="18" t="s">
        <v>425</v>
      </c>
    </row>
    <row r="18" customFormat="false" ht="30" hidden="false" customHeight="true" outlineLevel="0" collapsed="false">
      <c r="A18" s="20" t="s">
        <v>346</v>
      </c>
      <c r="B18" s="20" t="s">
        <v>426</v>
      </c>
      <c r="C18" s="20" t="s">
        <v>427</v>
      </c>
      <c r="D18" s="18" t="s">
        <v>428</v>
      </c>
      <c r="E18" s="20" t="s">
        <v>385</v>
      </c>
      <c r="F18" s="20" t="s">
        <v>429</v>
      </c>
    </row>
    <row r="19" customFormat="false" ht="30" hidden="false" customHeight="true" outlineLevel="0" collapsed="false">
      <c r="A19" s="18" t="s">
        <v>430</v>
      </c>
      <c r="B19" s="18" t="s">
        <v>431</v>
      </c>
      <c r="C19" s="18" t="s">
        <v>432</v>
      </c>
      <c r="D19" s="18" t="s">
        <v>433</v>
      </c>
      <c r="E19" s="18" t="s">
        <v>385</v>
      </c>
      <c r="F19" s="18" t="s">
        <v>434</v>
      </c>
    </row>
    <row r="20" customFormat="false" ht="30" hidden="false" customHeight="true" outlineLevel="0" collapsed="false">
      <c r="A20" s="20" t="s">
        <v>435</v>
      </c>
      <c r="B20" s="20" t="s">
        <v>436</v>
      </c>
      <c r="C20" s="20" t="s">
        <v>437</v>
      </c>
      <c r="D20" s="18" t="s">
        <v>438</v>
      </c>
      <c r="E20" s="20" t="s">
        <v>385</v>
      </c>
      <c r="F20" s="20" t="s">
        <v>439</v>
      </c>
    </row>
    <row r="21" customFormat="false" ht="30" hidden="false" customHeight="true" outlineLevel="0" collapsed="false">
      <c r="A21" s="18" t="s">
        <v>440</v>
      </c>
      <c r="B21" s="18" t="s">
        <v>441</v>
      </c>
      <c r="C21" s="18" t="s">
        <v>442</v>
      </c>
      <c r="D21" s="18" t="s">
        <v>443</v>
      </c>
      <c r="E21" s="18" t="s">
        <v>385</v>
      </c>
      <c r="F21" s="18" t="s">
        <v>444</v>
      </c>
    </row>
    <row r="22" customFormat="false" ht="30" hidden="false" customHeight="true" outlineLevel="0" collapsed="false">
      <c r="A22" s="20" t="s">
        <v>445</v>
      </c>
      <c r="B22" s="20" t="s">
        <v>446</v>
      </c>
      <c r="C22" s="20" t="s">
        <v>447</v>
      </c>
      <c r="D22" s="18" t="s">
        <v>448</v>
      </c>
      <c r="E22" s="20" t="s">
        <v>385</v>
      </c>
      <c r="F22" s="20" t="s">
        <v>449</v>
      </c>
    </row>
    <row r="25" customFormat="false" ht="15" hidden="false" customHeight="false" outlineLevel="0" collapsed="false">
      <c r="A25" s="33" t="s">
        <v>450</v>
      </c>
      <c r="B25" s="33"/>
      <c r="C25" s="33"/>
      <c r="D25" s="33"/>
      <c r="E25" s="33"/>
      <c r="F25" s="33"/>
    </row>
    <row r="26" customFormat="false" ht="15" hidden="false" customHeight="false" outlineLevel="0" collapsed="false">
      <c r="A26" s="7" t="s">
        <v>451</v>
      </c>
      <c r="B26" s="7" t="s">
        <v>452</v>
      </c>
      <c r="C26" s="7" t="s">
        <v>453</v>
      </c>
      <c r="D26" s="7" t="s">
        <v>454</v>
      </c>
    </row>
    <row r="27" customFormat="false" ht="34.5" hidden="false" customHeight="true" outlineLevel="0" collapsed="false">
      <c r="A27" s="20" t="s">
        <v>455</v>
      </c>
      <c r="B27" s="20" t="s">
        <v>456</v>
      </c>
      <c r="C27" s="20" t="s">
        <v>457</v>
      </c>
      <c r="D27" s="34" t="s">
        <v>458</v>
      </c>
    </row>
    <row r="28" customFormat="false" ht="34.5" hidden="false" customHeight="true" outlineLevel="0" collapsed="false">
      <c r="A28" s="18" t="s">
        <v>459</v>
      </c>
      <c r="B28" s="18" t="s">
        <v>460</v>
      </c>
      <c r="C28" s="18" t="s">
        <v>461</v>
      </c>
      <c r="D28" s="35" t="s">
        <v>462</v>
      </c>
    </row>
    <row r="29" customFormat="false" ht="34.5" hidden="false" customHeight="true" outlineLevel="0" collapsed="false">
      <c r="A29" s="20" t="s">
        <v>463</v>
      </c>
      <c r="B29" s="20" t="s">
        <v>464</v>
      </c>
      <c r="C29" s="20" t="s">
        <v>465</v>
      </c>
      <c r="D29" s="36" t="s">
        <v>13</v>
      </c>
    </row>
    <row r="30" customFormat="false" ht="34.5" hidden="false" customHeight="true" outlineLevel="0" collapsed="false">
      <c r="A30" s="18" t="s">
        <v>466</v>
      </c>
      <c r="B30" s="18" t="s">
        <v>467</v>
      </c>
      <c r="C30" s="18" t="s">
        <v>468</v>
      </c>
      <c r="D30" s="37" t="s">
        <v>12</v>
      </c>
    </row>
    <row r="31" customFormat="false" ht="34.5" hidden="false" customHeight="true" outlineLevel="0" collapsed="false">
      <c r="A31" s="20" t="s">
        <v>469</v>
      </c>
      <c r="B31" s="20" t="s">
        <v>470</v>
      </c>
      <c r="C31" s="20" t="s">
        <v>471</v>
      </c>
      <c r="D31" s="34" t="s">
        <v>458</v>
      </c>
    </row>
    <row r="32" customFormat="false" ht="34.5" hidden="false" customHeight="true" outlineLevel="0" collapsed="false">
      <c r="A32" s="18" t="s">
        <v>472</v>
      </c>
      <c r="B32" s="18" t="s">
        <v>473</v>
      </c>
      <c r="C32" s="18" t="s">
        <v>474</v>
      </c>
      <c r="D32" s="37" t="s">
        <v>12</v>
      </c>
    </row>
    <row r="33" customFormat="false" ht="34.5" hidden="false" customHeight="true" outlineLevel="0" collapsed="false">
      <c r="A33" s="20" t="s">
        <v>475</v>
      </c>
      <c r="B33" s="20" t="s">
        <v>476</v>
      </c>
      <c r="C33" s="20" t="s">
        <v>477</v>
      </c>
      <c r="D33" s="36" t="s">
        <v>13</v>
      </c>
    </row>
    <row r="36" customFormat="false" ht="15" hidden="false" customHeight="false" outlineLevel="0" collapsed="false">
      <c r="A36" s="33" t="s">
        <v>478</v>
      </c>
      <c r="B36" s="33"/>
      <c r="C36" s="33"/>
      <c r="D36" s="33"/>
      <c r="E36" s="33"/>
      <c r="F36" s="33"/>
    </row>
    <row r="37" customFormat="false" ht="15" hidden="false" customHeight="false" outlineLevel="0" collapsed="false">
      <c r="A37" s="7" t="s">
        <v>479</v>
      </c>
      <c r="B37" s="7" t="s">
        <v>480</v>
      </c>
      <c r="C37" s="7" t="s">
        <v>481</v>
      </c>
      <c r="D37" s="7" t="s">
        <v>482</v>
      </c>
    </row>
    <row r="38" customFormat="false" ht="49.5" hidden="false" customHeight="true" outlineLevel="0" collapsed="false">
      <c r="A38" s="20" t="s">
        <v>483</v>
      </c>
      <c r="B38" s="20" t="s">
        <v>484</v>
      </c>
      <c r="C38" s="20" t="s">
        <v>485</v>
      </c>
      <c r="D38" s="18" t="s">
        <v>486</v>
      </c>
    </row>
    <row r="39" customFormat="false" ht="49.5" hidden="false" customHeight="true" outlineLevel="0" collapsed="false">
      <c r="A39" s="18" t="s">
        <v>487</v>
      </c>
      <c r="B39" s="18" t="s">
        <v>488</v>
      </c>
      <c r="C39" s="18" t="s">
        <v>489</v>
      </c>
      <c r="D39" s="18" t="s">
        <v>490</v>
      </c>
    </row>
    <row r="40" customFormat="false" ht="49.5" hidden="false" customHeight="true" outlineLevel="0" collapsed="false">
      <c r="A40" s="20" t="s">
        <v>491</v>
      </c>
      <c r="B40" s="20" t="s">
        <v>492</v>
      </c>
      <c r="C40" s="20" t="s">
        <v>493</v>
      </c>
      <c r="D40" s="18" t="s">
        <v>494</v>
      </c>
    </row>
    <row r="41" customFormat="false" ht="49.5" hidden="false" customHeight="true" outlineLevel="0" collapsed="false">
      <c r="A41" s="18" t="s">
        <v>495</v>
      </c>
      <c r="B41" s="18" t="s">
        <v>496</v>
      </c>
      <c r="C41" s="18" t="s">
        <v>497</v>
      </c>
      <c r="D41" s="18" t="s">
        <v>494</v>
      </c>
    </row>
    <row r="42" customFormat="false" ht="49.5" hidden="false" customHeight="true" outlineLevel="0" collapsed="false">
      <c r="A42" s="20" t="s">
        <v>498</v>
      </c>
      <c r="B42" s="20" t="s">
        <v>499</v>
      </c>
      <c r="C42" s="20" t="s">
        <v>500</v>
      </c>
      <c r="D42" s="18" t="s">
        <v>501</v>
      </c>
    </row>
  </sheetData>
  <mergeCells count="6">
    <mergeCell ref="A1:F1"/>
    <mergeCell ref="A2:F2"/>
    <mergeCell ref="A4:F4"/>
    <mergeCell ref="A12:F12"/>
    <mergeCell ref="A25:F25"/>
    <mergeCell ref="A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2026-04-11T02:16:33Z</dcterms:created>
  <dc:creator>openpyxl</dc:creator>
  <dc:description/>
  <dc:language>en-US</dc:language>
  <cp:lastModifiedBy/>
  <dcterms:modified xsi:type="dcterms:W3CDTF">2026-04-11T02:16:33Z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